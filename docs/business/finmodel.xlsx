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Допущения" sheetId="2" state="visible" r:id="rId2"/>
    <sheet name="Расчёт_П" sheetId="3" state="visible" r:id="rId3"/>
    <sheet name="Расчёт_Б" sheetId="4" state="visible" r:id="rId4"/>
    <sheet name="Расчёт_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(#,##0);&quot;-&quot;"/>
    <numFmt numFmtId="165" formatCode="0.0%;(0.0%);&quot;-&quot;"/>
    <numFmt numFmtId="166" formatCode="0.00%;(0.00%);&quot;-&quot;"/>
    <numFmt numFmtId="167" formatCode="0.0"/>
    <numFmt numFmtId="168" formatCode="#,##0.0"/>
    <numFmt numFmtId="169" formatCode="#,##0.0;(#,##0.0);&quot;-&quot;"/>
    <numFmt numFmtId="170" formatCode="0.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  <color rgb="00FFFFFF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sz val="9"/>
    </font>
    <font>
      <name val="Arial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9" fillId="0" borderId="0" pivotButton="0" quotePrefix="0" xfId="0"/>
    <xf numFmtId="169" fontId="9" fillId="0" borderId="0" pivotButton="0" quotePrefix="0" xfId="0"/>
    <xf numFmtId="169" fontId="9" fillId="4" borderId="0" pivotButton="0" quotePrefix="0" xfId="0"/>
    <xf numFmtId="165" fontId="9" fillId="0" borderId="0" pivotButton="0" quotePrefix="0" xfId="0"/>
    <xf numFmtId="167" fontId="9" fillId="4" borderId="0" pivotButton="0" quotePrefix="0" xfId="0"/>
    <xf numFmtId="167" fontId="9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vertical="center" wrapText="1"/>
    </xf>
    <xf numFmtId="164" fontId="6" fillId="0" borderId="0" pivotButton="0" quotePrefix="0" xfId="0"/>
    <xf numFmtId="0" fontId="7" fillId="0" borderId="0" applyAlignment="1" pivotButton="0" quotePrefix="0" xfId="0">
      <alignment vertical="top" wrapText="1"/>
    </xf>
    <xf numFmtId="165" fontId="6" fillId="0" borderId="0" pivotButton="0" quotePrefix="0" xfId="0"/>
    <xf numFmtId="165" fontId="6" fillId="4" borderId="0" pivotButton="0" quotePrefix="0" xfId="0"/>
    <xf numFmtId="164" fontId="6" fillId="4" borderId="0" pivotButton="0" quotePrefix="0" xfId="0"/>
    <xf numFmtId="166" fontId="6" fillId="0" borderId="0" pivotButton="0" quotePrefix="0" xfId="0"/>
    <xf numFmtId="167" fontId="6" fillId="0" borderId="0" pivotButton="0" quotePrefix="0" xfId="0"/>
    <xf numFmtId="2" fontId="6" fillId="0" borderId="0" pivotButton="0" quotePrefix="0" xfId="0"/>
    <xf numFmtId="1" fontId="6" fillId="0" borderId="0" pivotButton="0" quotePrefix="0" xfId="0"/>
    <xf numFmtId="168" fontId="6" fillId="0" borderId="0" pivotButton="0" quotePrefix="0" xfId="0"/>
    <xf numFmtId="0" fontId="4" fillId="0" borderId="0" applyAlignment="1" pivotButton="0" quotePrefix="0" xfId="0">
      <alignment horizontal="center"/>
    </xf>
    <xf numFmtId="169" fontId="6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4" fontId="4" fillId="4" borderId="0" pivotButton="0" quotePrefix="0" xfId="0"/>
    <xf numFmtId="166" fontId="8" fillId="0" borderId="0" pivotButton="0" quotePrefix="0" xfId="0"/>
    <xf numFmtId="170" fontId="8" fillId="0" borderId="0" pivotButton="0" quotePrefix="0" xfId="0"/>
    <xf numFmtId="0" fontId="3" fillId="2" borderId="0" applyAlignment="1" pivotButton="0" quotePrefix="0" xfId="0">
      <alignment horizontal="center"/>
    </xf>
    <xf numFmtId="1" fontId="8" fillId="0" borderId="0" pivotButton="0" quotePrefix="0" xfId="0"/>
    <xf numFmtId="165" fontId="8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169" fontId="8" fillId="0" borderId="0" pivotButton="0" quotePrefix="0" xfId="0"/>
    <xf numFmtId="169" fontId="4" fillId="0" borderId="0" pivotButton="0" quotePrefix="0" xfId="0"/>
    <xf numFmtId="0" fontId="4" fillId="5" borderId="0" pivotButton="0" quotePrefix="0" xfId="0"/>
    <xf numFmtId="0" fontId="8" fillId="5" borderId="0" pivotButton="0" quotePrefix="0" xfId="0"/>
    <xf numFmtId="169" fontId="4" fillId="5" borderId="0" pivotButton="0" quotePrefix="0" xfId="0"/>
    <xf numFmtId="169" fontId="4" fillId="4" borderId="0" pivotButton="0" quotePrefix="0" xfId="0"/>
    <xf numFmtId="167" fontId="4" fillId="4" borderId="0" pivotButton="0" quotePrefix="0" xfId="0"/>
    <xf numFmtId="167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Накопленный денежный поток, млн ₽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'Итоги'!B49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'Итоги'!$A$50:$A$69</f>
            </numRef>
          </cat>
          <val>
            <numRef>
              <f>'Итоги'!$B$50:$B$69</f>
            </numRef>
          </val>
        </ser>
        <ser>
          <idx val="1"/>
          <order val="1"/>
          <tx>
            <strRef>
              <f>'Итоги'!C49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'Итоги'!$A$50:$A$69</f>
            </numRef>
          </cat>
          <val>
            <numRef>
              <f>'Итоги'!$C$50:$C$69</f>
            </numRef>
          </val>
        </ser>
        <ser>
          <idx val="2"/>
          <order val="2"/>
          <tx>
            <strRef>
              <f>'Итоги'!D49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'Итоги'!$A$50:$A$69</f>
            </numRef>
          </cat>
          <val>
            <numRef>
              <f>'Итоги'!$D$50:$D$69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млн 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nexus</author>
  </authors>
  <commentList>
    <comment ref="A99" authorId="0" shapeId="0">
      <text>
        <t>Q3 2027 — пилот на 1–2 регионах (~2% базы), с Q4 2027 — все молодые клиенты. Ориентир: детский банк и молодёжные разделы набирают 30–40% целевой базы за 2 года. Гипотеза.</t>
      </text>
    </comment>
    <comment ref="A100" authorId="0" shapeId="0">
      <text>
        <t>Пилот в Q3 2027: A/B на ~300 тыс. молодых клиентов (~10% базы): ~150 тыс. тест (5%), ~150 тыс. контроль. Меньше нельзя: чтобы увидеть снижение дроп-кейсов на 15% при частоте ~0,4% в квартал, нужно ~150 тыс. клиентов в каждой группе. С Q4 2027 — все молодые клиенты.</t>
      </text>
    </comment>
    <comment ref="A101" authorId="0" shapeId="0">
      <text>
        <t>Допущение: 1 сервер с 2–4 GPU для объяснений (модель 7–8B). Скоринг и классификатор работают на CPU.</t>
      </text>
    </comment>
    <comment ref="A102" authorId="0" shapeId="0">
      <text>
        <t>Допущение: ~150 тыс. ₽/мес.</t>
      </text>
    </comment>
    <comment ref="A103" authorId="0" shapeId="0">
      <text>
        <t>Перед пилотом + ежегодный повтор.</t>
      </text>
    </comment>
    <comment ref="A104" authorId="0" shapeId="0">
      <text>
        <t>Первичная разработка + обновление контента ежеквартально.</t>
      </text>
    </comment>
    <comment ref="A105" authorId="0" shapeId="0">
      <text>
        <t>Пилот + федеральный запуск.</t>
      </text>
    </comment>
    <comment ref="A106" authorId="0" shapeId="0">
      <text>
        <t>~8 млн ₽/год.</t>
      </text>
    </comment>
    <comment ref="A107" authorId="0" shapeId="0">
      <text>
        <t>~2 FTE на интеграцию в общий поток переводов, затем поддержка. Умножается на флаг этапа 2.</t>
      </text>
    </comment>
    <comment ref="A108" authorId="0" shapeId="0">
      <text>
        <t>Совместная работа с командой «Детского банка»: перенос целей, копилки, XP, согласия родителя.</t>
      </text>
    </comment>
    <comment ref="A109" authorId="0" shapeId="0">
      <text>
        <t>Витрина «Старта» для держателей в ВТБ Онлайн и в рассылках.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«Старт» — итоги финансовой модели для ВТБ</t>
        </is>
      </c>
    </row>
    <row r="2">
      <c r="A2" s="2" t="inlineStr">
        <is>
          <t>Горизонт: Q1 2027 – Q4 2031 (20 кварталов). Деньги — млн ₽. Значения подтягиваются с листов «Расчёт_П/Б/О»; менять нужно только лист «Допущения».</t>
        </is>
      </c>
    </row>
    <row r="3"/>
    <row r="4">
      <c r="A4" s="3" t="inlineStr">
        <is>
          <t>Показатель</t>
        </is>
      </c>
      <c r="B4" s="3" t="inlineStr">
        <is>
          <t>Ед.</t>
        </is>
      </c>
      <c r="C4" s="3" t="inlineStr">
        <is>
          <t>Пессимистичный</t>
        </is>
      </c>
      <c r="D4" s="3" t="inlineStr">
        <is>
          <t>Базовый</t>
        </is>
      </c>
      <c r="E4" s="3" t="inlineStr">
        <is>
          <t>Оптимистичный</t>
        </is>
      </c>
    </row>
    <row r="5">
      <c r="A5" s="4" t="inlineStr">
        <is>
          <t>Рынок</t>
        </is>
      </c>
      <c r="B5" s="5" t="n"/>
      <c r="C5" s="5" t="n"/>
      <c r="D5" s="5" t="n"/>
      <c r="E5" s="5" t="n"/>
    </row>
    <row r="6">
      <c r="A6" s="6" t="inlineStr">
        <is>
          <t>TAM: молодёжь 14–22 в РФ</t>
        </is>
      </c>
      <c r="B6" s="6" t="inlineStr">
        <is>
          <t>тыс. чел.</t>
        </is>
      </c>
      <c r="C6" s="7">
        <f>'Расчёт_П'!C7</f>
        <v/>
      </c>
      <c r="D6" s="7">
        <f>'Расчёт_Б'!C7</f>
        <v/>
      </c>
      <c r="E6" s="7">
        <f>'Расчёт_О'!C7</f>
        <v/>
      </c>
    </row>
    <row r="7">
      <c r="A7" s="6" t="inlineStr">
        <is>
          <t>SAM: с банковской картой</t>
        </is>
      </c>
      <c r="B7" s="6" t="inlineStr">
        <is>
          <t>тыс. чел.</t>
        </is>
      </c>
      <c r="C7" s="7">
        <f>'Расчёт_П'!C8</f>
        <v/>
      </c>
      <c r="D7" s="7">
        <f>'Расчёт_Б'!C8</f>
        <v/>
      </c>
      <c r="E7" s="7">
        <f>'Расчёт_О'!C8</f>
        <v/>
      </c>
    </row>
    <row r="8">
      <c r="A8" s="6" t="inlineStr">
        <is>
          <t>SOM: клиенты ВТБ 14–22</t>
        </is>
      </c>
      <c r="B8" s="6" t="inlineStr">
        <is>
          <t>тыс. чел.</t>
        </is>
      </c>
      <c r="C8" s="7">
        <f>'Расчёт_П'!C9</f>
        <v/>
      </c>
      <c r="D8" s="7">
        <f>'Расчёт_Б'!C9</f>
        <v/>
      </c>
      <c r="E8" s="7">
        <f>'Расчёт_О'!C9</f>
        <v/>
      </c>
    </row>
    <row r="9">
      <c r="A9" s="6" t="inlineStr">
        <is>
          <t>Проверка: клиенты ВТБ 14–25 по модели (факт ВТБ — более 4 млн)</t>
        </is>
      </c>
      <c r="B9" s="6" t="inlineStr">
        <is>
          <t>тыс. чел.</t>
        </is>
      </c>
      <c r="C9" s="7">
        <f>'Расчёт_П'!C10</f>
        <v/>
      </c>
      <c r="D9" s="7">
        <f>'Расчёт_Б'!C10</f>
        <v/>
      </c>
      <c r="E9" s="7">
        <f>'Расчёт_О'!C10</f>
        <v/>
      </c>
    </row>
    <row r="10">
      <c r="A10" s="6" t="inlineStr">
        <is>
          <t>Дроп-кейсов среди клиентов ВТБ 14–22 в год (без продукта)</t>
        </is>
      </c>
      <c r="B10" s="6" t="inlineStr">
        <is>
          <t>шт.</t>
        </is>
      </c>
      <c r="C10" s="7">
        <f>'Расчёт_П'!C13</f>
        <v/>
      </c>
      <c r="D10" s="7">
        <f>'Расчёт_Б'!C13</f>
        <v/>
      </c>
      <c r="E10" s="7">
        <f>'Расчёт_О'!C13</f>
        <v/>
      </c>
    </row>
    <row r="11">
      <c r="A11" s="6" t="inlineStr">
        <is>
          <t>Дроп-кейсов среди клиентов ВТБ 23+ в год (без продукта)</t>
        </is>
      </c>
      <c r="B11" s="6" t="inlineStr">
        <is>
          <t>шт.</t>
        </is>
      </c>
      <c r="C11" s="7">
        <f>'Расчёт_П'!C18</f>
        <v/>
      </c>
      <c r="D11" s="7">
        <f>'Расчёт_Б'!C18</f>
        <v/>
      </c>
      <c r="E11" s="7">
        <f>'Расчёт_О'!C18</f>
        <v/>
      </c>
    </row>
    <row r="12">
      <c r="A12" s="4" t="inlineStr">
        <is>
          <t>Экономика клиента</t>
        </is>
      </c>
      <c r="B12" s="5" t="n"/>
      <c r="C12" s="5" t="n"/>
      <c r="D12" s="5" t="n"/>
      <c r="E12" s="5" t="n"/>
    </row>
    <row r="13">
      <c r="A13" s="6" t="inlineStr">
        <is>
          <t>Маржинальный доход на молодого клиента</t>
        </is>
      </c>
      <c r="B13" s="6" t="inlineStr">
        <is>
          <t>₽/год</t>
        </is>
      </c>
      <c r="C13" s="7">
        <f>'Расчёт_П'!C14</f>
        <v/>
      </c>
      <c r="D13" s="7">
        <f>'Расчёт_Б'!C14</f>
        <v/>
      </c>
      <c r="E13" s="7">
        <f>'Расчёт_О'!C14</f>
        <v/>
      </c>
    </row>
    <row r="14">
      <c r="A14" s="6" t="inlineStr">
        <is>
          <t>Затраты банка на один дроп-кейс</t>
        </is>
      </c>
      <c r="B14" s="6" t="inlineStr">
        <is>
          <t>₽</t>
        </is>
      </c>
      <c r="C14" s="7">
        <f>'Расчёт_П'!C15</f>
        <v/>
      </c>
      <c r="D14" s="7">
        <f>'Расчёт_Б'!C15</f>
        <v/>
      </c>
      <c r="E14" s="7">
        <f>'Расчёт_О'!C15</f>
        <v/>
      </c>
    </row>
    <row r="15">
      <c r="A15" s="4" t="inlineStr">
        <is>
          <t>Инвестиции и затраты</t>
        </is>
      </c>
      <c r="B15" s="5" t="n"/>
      <c r="C15" s="5" t="n"/>
      <c r="D15" s="5" t="n"/>
      <c r="E15" s="5" t="n"/>
    </row>
    <row r="16">
      <c r="A16" s="6" t="inlineStr">
        <is>
          <t>Инвестиции до полного запуска (Q1–Q3 2027)</t>
        </is>
      </c>
      <c r="B16" s="6" t="inlineStr">
        <is>
          <t>млн ₽</t>
        </is>
      </c>
      <c r="C16" s="8">
        <f>'Расчёт_П'!C77</f>
        <v/>
      </c>
      <c r="D16" s="8">
        <f>'Расчёт_Б'!C77</f>
        <v/>
      </c>
      <c r="E16" s="8">
        <f>'Расчёт_О'!C77</f>
        <v/>
      </c>
    </row>
    <row r="17">
      <c r="A17" s="6" t="inlineStr">
        <is>
          <t>Годовые затраты в режиме эксплуатации (2031)</t>
        </is>
      </c>
      <c r="B17" s="6" t="inlineStr">
        <is>
          <t>млн ₽</t>
        </is>
      </c>
      <c r="C17" s="8">
        <f>'Расчёт_П'!C81</f>
        <v/>
      </c>
      <c r="D17" s="8">
        <f>'Расчёт_Б'!C81</f>
        <v/>
      </c>
      <c r="E17" s="8">
        <f>'Расчёт_О'!C81</f>
        <v/>
      </c>
    </row>
    <row r="18">
      <c r="A18" s="6" t="inlineStr">
        <is>
          <t>Суммарные затраты за 5 лет</t>
        </is>
      </c>
      <c r="B18" s="6" t="inlineStr">
        <is>
          <t>млн ₽</t>
        </is>
      </c>
      <c r="C18" s="8">
        <f>'Расчёт_П'!C75</f>
        <v/>
      </c>
      <c r="D18" s="8">
        <f>'Расчёт_Б'!C75</f>
        <v/>
      </c>
      <c r="E18" s="8">
        <f>'Расчёт_О'!C75</f>
        <v/>
      </c>
    </row>
    <row r="19">
      <c r="A19" s="4" t="inlineStr">
        <is>
          <t>Эффект за 5 лет</t>
        </is>
      </c>
      <c r="B19" s="5" t="n"/>
      <c r="C19" s="5" t="n"/>
      <c r="D19" s="5" t="n"/>
      <c r="E19" s="5" t="n"/>
    </row>
    <row r="20">
      <c r="A20" s="6" t="inlineStr">
        <is>
          <t>1. Экономия на разборе дроп-кейсов молодёжи</t>
        </is>
      </c>
      <c r="B20" s="6" t="inlineStr">
        <is>
          <t>млн ₽</t>
        </is>
      </c>
      <c r="C20" s="8">
        <f>'Расчёт_П'!AC34</f>
        <v/>
      </c>
      <c r="D20" s="8">
        <f>'Расчёт_Б'!AC34</f>
        <v/>
      </c>
      <c r="E20" s="8">
        <f>'Расчёт_О'!AC34</f>
        <v/>
      </c>
    </row>
    <row r="21">
      <c r="A21" s="6" t="inlineStr">
        <is>
          <t>2. Доход от сохранённых молодых клиентов</t>
        </is>
      </c>
      <c r="B21" s="6" t="inlineStr">
        <is>
          <t>млн ₽</t>
        </is>
      </c>
      <c r="C21" s="8">
        <f>'Расчёт_П'!AC36</f>
        <v/>
      </c>
      <c r="D21" s="8">
        <f>'Расчёт_Б'!AC36</f>
        <v/>
      </c>
      <c r="E21" s="8">
        <f>'Расчёт_О'!AC36</f>
        <v/>
      </c>
    </row>
    <row r="22">
      <c r="A22" s="6" t="inlineStr">
        <is>
          <t>3. Доход от снижения оттока</t>
        </is>
      </c>
      <c r="B22" s="6" t="inlineStr">
        <is>
          <t>млн ₽</t>
        </is>
      </c>
      <c r="C22" s="8">
        <f>'Расчёт_П'!AC38</f>
        <v/>
      </c>
      <c r="D22" s="8">
        <f>'Расчёт_Б'!AC38</f>
        <v/>
      </c>
      <c r="E22" s="8">
        <f>'Расчёт_О'!AC38</f>
        <v/>
      </c>
    </row>
    <row r="23">
      <c r="A23" s="6" t="inlineStr">
        <is>
          <t>4. Доход от новых клиентов</t>
        </is>
      </c>
      <c r="B23" s="6" t="inlineStr">
        <is>
          <t>млн ₽</t>
        </is>
      </c>
      <c r="C23" s="8">
        <f>'Расчёт_П'!AC40</f>
        <v/>
      </c>
      <c r="D23" s="8">
        <f>'Расчёт_Б'!AC40</f>
        <v/>
      </c>
      <c r="E23" s="8">
        <f>'Расчёт_О'!AC40</f>
        <v/>
      </c>
    </row>
    <row r="24">
      <c r="A24" s="6" t="inlineStr">
        <is>
          <t>5. Экономия контакт-центра</t>
        </is>
      </c>
      <c r="B24" s="6" t="inlineStr">
        <is>
          <t>млн ₽</t>
        </is>
      </c>
      <c r="C24" s="8">
        <f>'Расчёт_П'!AC42</f>
        <v/>
      </c>
      <c r="D24" s="8">
        <f>'Расчёт_Б'!AC42</f>
        <v/>
      </c>
      <c r="E24" s="8">
        <f>'Расчёт_О'!AC42</f>
        <v/>
      </c>
    </row>
    <row r="25">
      <c r="A25" s="6" t="inlineStr">
        <is>
          <t>8. Мост «Детский банк» → «Старт»</t>
        </is>
      </c>
      <c r="B25" s="6" t="inlineStr">
        <is>
          <t>млн ₽</t>
        </is>
      </c>
      <c r="C25" s="8">
        <f>'Расчёт_П'!AC45</f>
        <v/>
      </c>
      <c r="D25" s="8">
        <f>'Расчёт_Б'!AC45</f>
        <v/>
      </c>
      <c r="E25" s="8">
        <f>'Расчёт_О'!AC45</f>
        <v/>
      </c>
    </row>
    <row r="26">
      <c r="A26" s="6" t="inlineStr">
        <is>
          <t>9. Клиенты из «Пушкинской карты»</t>
        </is>
      </c>
      <c r="B26" s="6" t="inlineStr">
        <is>
          <t>млн ₽</t>
        </is>
      </c>
      <c r="C26" s="8">
        <f>'Расчёт_П'!AC47</f>
        <v/>
      </c>
      <c r="D26" s="8">
        <f>'Расчёт_Б'!AC47</f>
        <v/>
      </c>
      <c r="E26" s="8">
        <f>'Расчёт_О'!AC47</f>
        <v/>
      </c>
    </row>
    <row r="27">
      <c r="A27" s="6" t="inlineStr">
        <is>
          <t>6. Этап 2: экономия на дроп-кейсах 23+</t>
        </is>
      </c>
      <c r="B27" s="6" t="inlineStr">
        <is>
          <t>млн ₽</t>
        </is>
      </c>
      <c r="C27" s="8">
        <f>'Расчёт_П'!AC50</f>
        <v/>
      </c>
      <c r="D27" s="8">
        <f>'Расчёт_Б'!AC50</f>
        <v/>
      </c>
      <c r="E27" s="8">
        <f>'Расчёт_О'!AC50</f>
        <v/>
      </c>
    </row>
    <row r="28">
      <c r="A28" s="6" t="inlineStr">
        <is>
          <t>7. Этап 2: доход от сохранённых взрослых клиентов</t>
        </is>
      </c>
      <c r="B28" s="6" t="inlineStr">
        <is>
          <t>млн ₽</t>
        </is>
      </c>
      <c r="C28" s="8">
        <f>'Расчёт_П'!AC52</f>
        <v/>
      </c>
      <c r="D28" s="8">
        <f>'Расчёт_Б'!AC52</f>
        <v/>
      </c>
      <c r="E28" s="8">
        <f>'Расчёт_О'!AC52</f>
        <v/>
      </c>
    </row>
    <row r="29">
      <c r="A29" s="6" t="inlineStr">
        <is>
          <t>Суммарный эффект за 5 лет</t>
        </is>
      </c>
      <c r="B29" s="6" t="inlineStr">
        <is>
          <t>млн ₽</t>
        </is>
      </c>
      <c r="C29" s="8">
        <f>'Расчёт_П'!C74</f>
        <v/>
      </c>
      <c r="D29" s="8">
        <f>'Расчёт_Б'!C74</f>
        <v/>
      </c>
      <c r="E29" s="8">
        <f>'Расчёт_О'!C74</f>
        <v/>
      </c>
    </row>
    <row r="30">
      <c r="A30" s="6" t="inlineStr">
        <is>
          <t>Годовой эффект (2031)</t>
        </is>
      </c>
      <c r="B30" s="6" t="inlineStr">
        <is>
          <t>млн ₽</t>
        </is>
      </c>
      <c r="C30" s="8">
        <f>'Расчёт_П'!C82</f>
        <v/>
      </c>
      <c r="D30" s="8">
        <f>'Расчёт_Б'!C82</f>
        <v/>
      </c>
      <c r="E30" s="8">
        <f>'Расчёт_О'!C82</f>
        <v/>
      </c>
    </row>
    <row r="31">
      <c r="A31" s="6" t="inlineStr">
        <is>
          <t>Операционный поток 2029 (эффект минус затраты)</t>
        </is>
      </c>
      <c r="B31" s="6" t="inlineStr">
        <is>
          <t>млн ₽</t>
        </is>
      </c>
      <c r="C31" s="8">
        <f>'Расчёт_П'!C83</f>
        <v/>
      </c>
      <c r="D31" s="8">
        <f>'Расчёт_Б'!C83</f>
        <v/>
      </c>
      <c r="E31" s="8">
        <f>'Расчёт_О'!C83</f>
        <v/>
      </c>
    </row>
    <row r="32">
      <c r="A32" s="4" t="inlineStr">
        <is>
          <t>Окупаемость</t>
        </is>
      </c>
      <c r="B32" s="5" t="n"/>
      <c r="C32" s="5" t="n"/>
      <c r="D32" s="5" t="n"/>
      <c r="E32" s="5" t="n"/>
    </row>
    <row r="33">
      <c r="A33" s="6" t="inlineStr">
        <is>
          <t>NPV за 5 лет (2027–2031)</t>
        </is>
      </c>
      <c r="B33" s="6" t="inlineStr">
        <is>
          <t>млн ₽</t>
        </is>
      </c>
      <c r="C33" s="9">
        <f>'Расчёт_П'!C71</f>
        <v/>
      </c>
      <c r="D33" s="9">
        <f>'Расчёт_Б'!C71</f>
        <v/>
      </c>
      <c r="E33" s="9">
        <f>'Расчёт_О'!C71</f>
        <v/>
      </c>
    </row>
    <row r="34">
      <c r="A34" s="6" t="inlineStr">
        <is>
          <t>NPV за 5 лет только ядра продукта</t>
        </is>
      </c>
      <c r="B34" s="6" t="inlineStr">
        <is>
          <t>млн ₽</t>
        </is>
      </c>
      <c r="C34" s="9">
        <f>'Расчёт_П'!C72</f>
        <v/>
      </c>
      <c r="D34" s="9">
        <f>'Расчёт_Б'!C72</f>
        <v/>
      </c>
      <c r="E34" s="9">
        <f>'Расчёт_О'!C72</f>
        <v/>
      </c>
    </row>
    <row r="35">
      <c r="A35" s="6" t="inlineStr">
        <is>
          <t>NPV за первые 3 года (справочно)</t>
        </is>
      </c>
      <c r="B35" s="6" t="inlineStr">
        <is>
          <t>млн ₽</t>
        </is>
      </c>
      <c r="C35" s="8">
        <f>'Расчёт_П'!C73</f>
        <v/>
      </c>
      <c r="D35" s="8">
        <f>'Расчёт_Б'!C73</f>
        <v/>
      </c>
      <c r="E35" s="8">
        <f>'Расчёт_О'!C73</f>
        <v/>
      </c>
    </row>
    <row r="36">
      <c r="A36" s="6" t="inlineStr">
        <is>
          <t>ROI за 5 лет</t>
        </is>
      </c>
      <c r="B36" s="6" t="inlineStr">
        <is>
          <t>доля</t>
        </is>
      </c>
      <c r="C36" s="10">
        <f>'Расчёт_П'!C76</f>
        <v/>
      </c>
      <c r="D36" s="10">
        <f>'Расчёт_Б'!C76</f>
        <v/>
      </c>
      <c r="E36" s="10">
        <f>'Расчёт_О'!C76</f>
        <v/>
      </c>
    </row>
    <row r="37">
      <c r="A37" s="6" t="inlineStr">
        <is>
          <t>Срок окупаемости от старта проекта</t>
        </is>
      </c>
      <c r="B37" s="6" t="inlineStr">
        <is>
          <t>мес.</t>
        </is>
      </c>
      <c r="C37" s="11">
        <f>'Расчёт_П'!C79</f>
        <v/>
      </c>
      <c r="D37" s="11">
        <f>'Расчёт_Б'!C79</f>
        <v/>
      </c>
      <c r="E37" s="11">
        <f>'Расчёт_О'!C79</f>
        <v/>
      </c>
    </row>
    <row r="38">
      <c r="A38" s="6" t="inlineStr">
        <is>
          <t>Срок окупаемости от полного запуска</t>
        </is>
      </c>
      <c r="B38" s="6" t="inlineStr">
        <is>
          <t>мес.</t>
        </is>
      </c>
      <c r="C38" s="12">
        <f>'Расчёт_П'!C80</f>
        <v/>
      </c>
      <c r="D38" s="12">
        <f>'Расчёт_Б'!C80</f>
        <v/>
      </c>
      <c r="E38" s="12">
        <f>'Расчёт_О'!C80</f>
        <v/>
      </c>
    </row>
    <row r="39">
      <c r="A39" s="4" t="inlineStr">
        <is>
          <t>Клиенты и общество (вне NPV)</t>
        </is>
      </c>
      <c r="B39" s="5" t="n"/>
      <c r="C39" s="5" t="n"/>
      <c r="D39" s="5" t="n"/>
      <c r="E39" s="5" t="n"/>
    </row>
    <row r="40">
      <c r="A40" s="6" t="inlineStr">
        <is>
          <t>MAU раздела на конец 2031</t>
        </is>
      </c>
      <c r="B40" s="6" t="inlineStr">
        <is>
          <t>тыс. чел.</t>
        </is>
      </c>
      <c r="C40" s="7">
        <f>'Расчёт_П'!C87</f>
        <v/>
      </c>
      <c r="D40" s="7">
        <f>'Расчёт_Б'!C87</f>
        <v/>
      </c>
      <c r="E40" s="7">
        <f>'Расчёт_О'!C87</f>
        <v/>
      </c>
    </row>
    <row r="41">
      <c r="A41" s="6" t="inlineStr">
        <is>
          <t>Предотвращено дроп-кейсов молодёжи за 5 лет</t>
        </is>
      </c>
      <c r="B41" s="6" t="inlineStr">
        <is>
          <t>шт.</t>
        </is>
      </c>
      <c r="C41" s="7">
        <f>'Расчёт_П'!C84</f>
        <v/>
      </c>
      <c r="D41" s="7">
        <f>'Расчёт_Б'!C84</f>
        <v/>
      </c>
      <c r="E41" s="7">
        <f>'Расчёт_О'!C84</f>
        <v/>
      </c>
    </row>
    <row r="42">
      <c r="A42" s="6" t="inlineStr">
        <is>
          <t>Предотвращено дроп-кейсов 23+ за 5 лет</t>
        </is>
      </c>
      <c r="B42" s="6" t="inlineStr">
        <is>
          <t>шт.</t>
        </is>
      </c>
      <c r="C42" s="7">
        <f>'Расчёт_П'!C85</f>
        <v/>
      </c>
      <c r="D42" s="7">
        <f>'Расчёт_Б'!C85</f>
        <v/>
      </c>
      <c r="E42" s="7">
        <f>'Расчёт_О'!C85</f>
        <v/>
      </c>
    </row>
    <row r="43">
      <c r="A43" s="6" t="inlineStr">
        <is>
          <t>Молодых клиентов сохранено, удержано и привлечено (конец 2031)</t>
        </is>
      </c>
      <c r="B43" s="6" t="inlineStr">
        <is>
          <t>чел.</t>
        </is>
      </c>
      <c r="C43" s="7">
        <f>'Расчёт_П'!C88</f>
        <v/>
      </c>
      <c r="D43" s="7">
        <f>'Расчёт_Б'!C88</f>
        <v/>
      </c>
      <c r="E43" s="7">
        <f>'Расчёт_О'!C88</f>
        <v/>
      </c>
    </row>
    <row r="44">
      <c r="A44" s="6" t="inlineStr">
        <is>
          <t>Стратегическая ценность этих клиентов после 23 лет</t>
        </is>
      </c>
      <c r="B44" s="6" t="inlineStr">
        <is>
          <t>млн ₽</t>
        </is>
      </c>
      <c r="C44" s="8">
        <f>'Расчёт_П'!C89</f>
        <v/>
      </c>
      <c r="D44" s="8">
        <f>'Расчёт_Б'!C89</f>
        <v/>
      </c>
      <c r="E44" s="8">
        <f>'Расчёт_О'!C89</f>
        <v/>
      </c>
    </row>
    <row r="45">
      <c r="A45" s="6" t="inlineStr">
        <is>
          <t>Чужих денег не прошло через карты ВТБ</t>
        </is>
      </c>
      <c r="B45" s="6" t="inlineStr">
        <is>
          <t>млн ₽</t>
        </is>
      </c>
      <c r="C45" s="8">
        <f>'Расчёт_П'!C86</f>
        <v/>
      </c>
      <c r="D45" s="8">
        <f>'Расчёт_Б'!C86</f>
        <v/>
      </c>
      <c r="E45" s="8">
        <f>'Расчёт_О'!C86</f>
        <v/>
      </c>
    </row>
    <row r="46">
      <c r="A46" s="6" t="inlineStr">
        <is>
          <t>Затраты на одного MAU в 2031</t>
        </is>
      </c>
      <c r="B46" s="6" t="inlineStr">
        <is>
          <t>₽/год</t>
        </is>
      </c>
      <c r="C46" s="7">
        <f>'Расчёт_П'!C90</f>
        <v/>
      </c>
      <c r="D46" s="7">
        <f>'Расчёт_Б'!C90</f>
        <v/>
      </c>
      <c r="E46" s="7">
        <f>'Расчёт_О'!C90</f>
        <v/>
      </c>
    </row>
    <row r="47"/>
    <row r="48">
      <c r="A48" s="13" t="inlineStr">
        <is>
          <t>Накопленный денежный поток, млн ₽ (для графика)</t>
        </is>
      </c>
    </row>
    <row r="49">
      <c r="A49" s="13" t="inlineStr">
        <is>
          <t>Квартал</t>
        </is>
      </c>
      <c r="B49" s="13" t="inlineStr">
        <is>
          <t>Пессимистичный</t>
        </is>
      </c>
      <c r="C49" s="13" t="inlineStr">
        <is>
          <t>Базовый</t>
        </is>
      </c>
      <c r="D49" s="13" t="inlineStr">
        <is>
          <t>Оптимистичный</t>
        </is>
      </c>
    </row>
    <row r="50">
      <c r="A50" s="6" t="inlineStr">
        <is>
          <t>Q1 2027</t>
        </is>
      </c>
      <c r="B50" s="8">
        <f>'Расчёт_П'!C65</f>
        <v/>
      </c>
      <c r="C50" s="8">
        <f>'Расчёт_Б'!C65</f>
        <v/>
      </c>
      <c r="D50" s="8">
        <f>'Расчёт_О'!C65</f>
        <v/>
      </c>
    </row>
    <row r="51">
      <c r="A51" s="6" t="inlineStr">
        <is>
          <t>Q2 2027</t>
        </is>
      </c>
      <c r="B51" s="8">
        <f>'Расчёт_П'!D65</f>
        <v/>
      </c>
      <c r="C51" s="8">
        <f>'Расчёт_Б'!D65</f>
        <v/>
      </c>
      <c r="D51" s="8">
        <f>'Расчёт_О'!D65</f>
        <v/>
      </c>
    </row>
    <row r="52">
      <c r="A52" s="6" t="inlineStr">
        <is>
          <t>Q3 2027</t>
        </is>
      </c>
      <c r="B52" s="8">
        <f>'Расчёт_П'!E65</f>
        <v/>
      </c>
      <c r="C52" s="8">
        <f>'Расчёт_Б'!E65</f>
        <v/>
      </c>
      <c r="D52" s="8">
        <f>'Расчёт_О'!E65</f>
        <v/>
      </c>
    </row>
    <row r="53">
      <c r="A53" s="6" t="inlineStr">
        <is>
          <t>Q4 2027</t>
        </is>
      </c>
      <c r="B53" s="8">
        <f>'Расчёт_П'!F65</f>
        <v/>
      </c>
      <c r="C53" s="8">
        <f>'Расчёт_Б'!F65</f>
        <v/>
      </c>
      <c r="D53" s="8">
        <f>'Расчёт_О'!F65</f>
        <v/>
      </c>
    </row>
    <row r="54">
      <c r="A54" s="6" t="inlineStr">
        <is>
          <t>Q1 2028</t>
        </is>
      </c>
      <c r="B54" s="8">
        <f>'Расчёт_П'!G65</f>
        <v/>
      </c>
      <c r="C54" s="8">
        <f>'Расчёт_Б'!G65</f>
        <v/>
      </c>
      <c r="D54" s="8">
        <f>'Расчёт_О'!G65</f>
        <v/>
      </c>
    </row>
    <row r="55">
      <c r="A55" s="6" t="inlineStr">
        <is>
          <t>Q2 2028</t>
        </is>
      </c>
      <c r="B55" s="8">
        <f>'Расчёт_П'!H65</f>
        <v/>
      </c>
      <c r="C55" s="8">
        <f>'Расчёт_Б'!H65</f>
        <v/>
      </c>
      <c r="D55" s="8">
        <f>'Расчёт_О'!H65</f>
        <v/>
      </c>
    </row>
    <row r="56">
      <c r="A56" s="6" t="inlineStr">
        <is>
          <t>Q3 2028</t>
        </is>
      </c>
      <c r="B56" s="8">
        <f>'Расчёт_П'!I65</f>
        <v/>
      </c>
      <c r="C56" s="8">
        <f>'Расчёт_Б'!I65</f>
        <v/>
      </c>
      <c r="D56" s="8">
        <f>'Расчёт_О'!I65</f>
        <v/>
      </c>
    </row>
    <row r="57">
      <c r="A57" s="6" t="inlineStr">
        <is>
          <t>Q4 2028</t>
        </is>
      </c>
      <c r="B57" s="8">
        <f>'Расчёт_П'!J65</f>
        <v/>
      </c>
      <c r="C57" s="8">
        <f>'Расчёт_Б'!J65</f>
        <v/>
      </c>
      <c r="D57" s="8">
        <f>'Расчёт_О'!J65</f>
        <v/>
      </c>
    </row>
    <row r="58">
      <c r="A58" s="6" t="inlineStr">
        <is>
          <t>Q1 2029</t>
        </is>
      </c>
      <c r="B58" s="8">
        <f>'Расчёт_П'!K65</f>
        <v/>
      </c>
      <c r="C58" s="8">
        <f>'Расчёт_Б'!K65</f>
        <v/>
      </c>
      <c r="D58" s="8">
        <f>'Расчёт_О'!K65</f>
        <v/>
      </c>
    </row>
    <row r="59">
      <c r="A59" s="6" t="inlineStr">
        <is>
          <t>Q2 2029</t>
        </is>
      </c>
      <c r="B59" s="8">
        <f>'Расчёт_П'!L65</f>
        <v/>
      </c>
      <c r="C59" s="8">
        <f>'Расчёт_Б'!L65</f>
        <v/>
      </c>
      <c r="D59" s="8">
        <f>'Расчёт_О'!L65</f>
        <v/>
      </c>
    </row>
    <row r="60">
      <c r="A60" s="6" t="inlineStr">
        <is>
          <t>Q3 2029</t>
        </is>
      </c>
      <c r="B60" s="8">
        <f>'Расчёт_П'!M65</f>
        <v/>
      </c>
      <c r="C60" s="8">
        <f>'Расчёт_Б'!M65</f>
        <v/>
      </c>
      <c r="D60" s="8">
        <f>'Расчёт_О'!M65</f>
        <v/>
      </c>
    </row>
    <row r="61">
      <c r="A61" s="6" t="inlineStr">
        <is>
          <t>Q4 2029</t>
        </is>
      </c>
      <c r="B61" s="8">
        <f>'Расчёт_П'!N65</f>
        <v/>
      </c>
      <c r="C61" s="8">
        <f>'Расчёт_Б'!N65</f>
        <v/>
      </c>
      <c r="D61" s="8">
        <f>'Расчёт_О'!N65</f>
        <v/>
      </c>
    </row>
    <row r="62">
      <c r="A62" s="6" t="inlineStr">
        <is>
          <t>Q1 2030</t>
        </is>
      </c>
      <c r="B62" s="8">
        <f>'Расчёт_П'!O65</f>
        <v/>
      </c>
      <c r="C62" s="8">
        <f>'Расчёт_Б'!O65</f>
        <v/>
      </c>
      <c r="D62" s="8">
        <f>'Расчёт_О'!O65</f>
        <v/>
      </c>
    </row>
    <row r="63">
      <c r="A63" s="6" t="inlineStr">
        <is>
          <t>Q2 2030</t>
        </is>
      </c>
      <c r="B63" s="8">
        <f>'Расчёт_П'!P65</f>
        <v/>
      </c>
      <c r="C63" s="8">
        <f>'Расчёт_Б'!P65</f>
        <v/>
      </c>
      <c r="D63" s="8">
        <f>'Расчёт_О'!P65</f>
        <v/>
      </c>
    </row>
    <row r="64">
      <c r="A64" s="6" t="inlineStr">
        <is>
          <t>Q3 2030</t>
        </is>
      </c>
      <c r="B64" s="8">
        <f>'Расчёт_П'!Q65</f>
        <v/>
      </c>
      <c r="C64" s="8">
        <f>'Расчёт_Б'!Q65</f>
        <v/>
      </c>
      <c r="D64" s="8">
        <f>'Расчёт_О'!Q65</f>
        <v/>
      </c>
    </row>
    <row r="65">
      <c r="A65" s="6" t="inlineStr">
        <is>
          <t>Q4 2030</t>
        </is>
      </c>
      <c r="B65" s="8">
        <f>'Расчёт_П'!R65</f>
        <v/>
      </c>
      <c r="C65" s="8">
        <f>'Расчёт_Б'!R65</f>
        <v/>
      </c>
      <c r="D65" s="8">
        <f>'Расчёт_О'!R65</f>
        <v/>
      </c>
    </row>
    <row r="66">
      <c r="A66" s="6" t="inlineStr">
        <is>
          <t>Q1 2031</t>
        </is>
      </c>
      <c r="B66" s="8">
        <f>'Расчёт_П'!S65</f>
        <v/>
      </c>
      <c r="C66" s="8">
        <f>'Расчёт_Б'!S65</f>
        <v/>
      </c>
      <c r="D66" s="8">
        <f>'Расчёт_О'!S65</f>
        <v/>
      </c>
    </row>
    <row r="67">
      <c r="A67" s="6" t="inlineStr">
        <is>
          <t>Q2 2031</t>
        </is>
      </c>
      <c r="B67" s="8">
        <f>'Расчёт_П'!T65</f>
        <v/>
      </c>
      <c r="C67" s="8">
        <f>'Расчёт_Б'!T65</f>
        <v/>
      </c>
      <c r="D67" s="8">
        <f>'Расчёт_О'!T65</f>
        <v/>
      </c>
    </row>
    <row r="68">
      <c r="A68" s="6" t="inlineStr">
        <is>
          <t>Q3 2031</t>
        </is>
      </c>
      <c r="B68" s="8">
        <f>'Расчёт_П'!U65</f>
        <v/>
      </c>
      <c r="C68" s="8">
        <f>'Расчёт_Б'!U65</f>
        <v/>
      </c>
      <c r="D68" s="8">
        <f>'Расчёт_О'!U65</f>
        <v/>
      </c>
    </row>
    <row r="69">
      <c r="A69" s="6" t="inlineStr">
        <is>
          <t>Q4 2031</t>
        </is>
      </c>
      <c r="B69" s="8">
        <f>'Расчёт_П'!V65</f>
        <v/>
      </c>
      <c r="C69" s="8">
        <f>'Расчёт_Б'!V65</f>
        <v/>
      </c>
      <c r="D69" s="8">
        <f>'Расчёт_О'!V65</f>
        <v/>
      </c>
    </row>
    <row r="70"/>
    <row r="71"/>
    <row r="72">
      <c r="A72" s="13" t="inlineStr">
        <is>
          <t>Как читать модель</t>
        </is>
      </c>
    </row>
    <row r="73">
      <c r="A73" s="14" t="inlineStr">
        <is>
          <t>Синий шрифт — вводные (лист «Допущения»), чёрный — формулы, зелёный — ссылки на другие листы.</t>
        </is>
      </c>
    </row>
    <row r="74">
      <c r="A74" s="14" t="inlineStr">
        <is>
          <t>Жёлтая заливка — ключевые допущения: доля ВТБ у молодёжи, эффект продукта, охват, привлечение. Их подтверждаем на пилоте.</t>
        </is>
      </c>
    </row>
    <row r="75">
      <c r="A75" s="14" t="inlineStr">
        <is>
          <t>Эффект — только в деньгах ВТБ. Возврат денег жертвам и снижение регуляторного риска показаны отдельно и в NPV не входят.</t>
        </is>
      </c>
    </row>
    <row r="76">
      <c r="A76" s="14" t="inlineStr">
        <is>
          <t>Доход от клиентов считается как поток маржинального дохода по накопленной базе клиентов с учётом оттока, а не LTV разом.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V10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4" customWidth="1" min="2" max="2"/>
    <col width="15" customWidth="1" min="3" max="3"/>
    <col width="15" customWidth="1" min="4" max="4"/>
    <col width="15" customWidth="1" min="5" max="5"/>
    <col width="9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Допущения финансовой модели «Старт» (антидроп + финграмотность для клиентов 14–22)</t>
        </is>
      </c>
    </row>
    <row r="2">
      <c r="A2" s="2" t="inlineStr">
        <is>
          <t>Синий шрифт — вводные, их можно менять. Жёлтая заливка — ключевые допущения, которые нужно подтвердить данными ВТБ на пилоте. Чёрный — формулы. Зелёный — ссылки на другие листы.</t>
        </is>
      </c>
    </row>
    <row r="3"/>
    <row r="4">
      <c r="A4" s="15" t="inlineStr">
        <is>
          <t>Допущение</t>
        </is>
      </c>
      <c r="B4" s="15" t="inlineStr">
        <is>
          <t>Единица</t>
        </is>
      </c>
      <c r="C4" s="15" t="inlineStr">
        <is>
          <t>Пессимистичный</t>
        </is>
      </c>
      <c r="D4" s="15" t="inlineStr">
        <is>
          <t>Базовый</t>
        </is>
      </c>
      <c r="E4" s="15" t="inlineStr">
        <is>
          <t>Оптимистичный</t>
        </is>
      </c>
      <c r="F4" s="15" t="inlineStr">
        <is>
          <t>Источник / обоснование</t>
        </is>
      </c>
    </row>
    <row r="5"/>
    <row r="6">
      <c r="A6" s="4" t="inlineStr">
        <is>
          <t>1. Рынок и аудитория</t>
        </is>
      </c>
      <c r="B6" s="5" t="n"/>
      <c r="C6" s="5" t="n"/>
      <c r="D6" s="5" t="n"/>
      <c r="E6" s="5" t="n"/>
      <c r="F6" s="5" t="n"/>
    </row>
    <row r="7">
      <c r="A7" s="6" t="inlineStr">
        <is>
          <t>Родилось в 2004–2008 гг. (в 2026 им 18–22 года)</t>
        </is>
      </c>
      <c r="B7" s="6" t="inlineStr">
        <is>
          <t>тыс. чел.</t>
        </is>
      </c>
      <c r="C7" s="16" t="n">
        <v>7763.5</v>
      </c>
      <c r="D7" s="16" t="n">
        <v>7763.5</v>
      </c>
      <c r="E7" s="16" t="n">
        <v>7763.5</v>
      </c>
      <c r="F7" s="17" t="inlineStr">
        <is>
          <t>Росстат, число родившихся по годам: 2004 — 1502,5; 2005 — 1457,4; 2006 — 1479,6; 2007 — 1610,1; 2008 — 1713,9 тыс. Оценка когорты; сверить с численностью населения по возрастам на 01.01.2026 (Росстат).</t>
        </is>
      </c>
    </row>
    <row r="8">
      <c r="A8" s="6" t="inlineStr">
        <is>
          <t>Родилось в 2009–2012 гг. (в 2026 им 14–17 лет)</t>
        </is>
      </c>
      <c r="B8" s="6" t="inlineStr">
        <is>
          <t>тыс. чел.</t>
        </is>
      </c>
      <c r="C8" s="16" t="n">
        <v>7249.3</v>
      </c>
      <c r="D8" s="16" t="n">
        <v>7249.3</v>
      </c>
      <c r="E8" s="16" t="n">
        <v>7249.3</v>
      </c>
      <c r="F8" s="17" t="inlineStr">
        <is>
          <t>Росстат: 2009 — 1761,7; 2010 — 1788,9; 2011 — 1796,6; 2012 — 1902,1 тыс.</t>
        </is>
      </c>
    </row>
    <row r="9">
      <c r="A9" s="6" t="inlineStr">
        <is>
          <t>Коэффициент дожития и миграции когорты</t>
        </is>
      </c>
      <c r="B9" s="6" t="inlineStr">
        <is>
          <t>доля</t>
        </is>
      </c>
      <c r="C9" s="18" t="n">
        <v>0.97</v>
      </c>
      <c r="D9" s="18" t="n">
        <v>0.97</v>
      </c>
      <c r="E9" s="18" t="n">
        <v>0.97</v>
      </c>
      <c r="F9" s="17" t="inlineStr">
        <is>
          <t>Допущение: смертность в возрасте 0–22 и сальдо миграции. Уточнить по Росстату.</t>
        </is>
      </c>
    </row>
    <row r="10">
      <c r="A10" s="6" t="inlineStr">
        <is>
          <t>Доля 14–17 лет со своей банковской картой</t>
        </is>
      </c>
      <c r="B10" s="6" t="inlineStr">
        <is>
          <t>доля</t>
        </is>
      </c>
      <c r="C10" s="18" t="n">
        <v>0.7</v>
      </c>
      <c r="D10" s="18" t="n">
        <v>0.75</v>
      </c>
      <c r="E10" s="18" t="n">
        <v>0.8</v>
      </c>
      <c r="F10" s="17" t="inlineStr">
        <is>
          <t>Допущение. Карта с 14 лет — массовый продукт у всех крупных банков; с лета 2025 нужно согласие родителей.</t>
        </is>
      </c>
    </row>
    <row r="11">
      <c r="A11" s="6" t="inlineStr">
        <is>
          <t>Доля 18–22 лет с банковской картой</t>
        </is>
      </c>
      <c r="B11" s="6" t="inlineStr">
        <is>
          <t>доля</t>
        </is>
      </c>
      <c r="C11" s="18" t="n">
        <v>0.95</v>
      </c>
      <c r="D11" s="18" t="n">
        <v>0.95</v>
      </c>
      <c r="E11" s="18" t="n">
        <v>0.95</v>
      </c>
      <c r="F11" s="17" t="inlineStr">
        <is>
          <t>Допущение: стипендии и зарплаты зачисляются на карту, проникновение близко к взрослому.</t>
        </is>
      </c>
    </row>
    <row r="12">
      <c r="A12" s="6" t="inlineStr">
        <is>
          <t>Доля ВТБ среди 14–17 лет с картой</t>
        </is>
      </c>
      <c r="B12" s="6" t="inlineStr">
        <is>
          <t>доля</t>
        </is>
      </c>
      <c r="C12" s="19" t="n">
        <v>0.13</v>
      </c>
      <c r="D12" s="19" t="n">
        <v>0.17</v>
      </c>
      <c r="E12" s="19" t="n">
        <v>0.2</v>
      </c>
      <c r="F12" s="17" t="inlineStr">
        <is>
          <t>Калибровка по факту: у ВТБ более 4 млн клиентов 14–25 лет (ВТБ, июнь 2026). Подростков у ВТБ меньше, чем 18–25, поэтому доля 14–17 ≈ 0,6 от доли 18–25. Проверка — строка «клиенты ВТБ 14–25 по модели» на листах расчёта. Пессимистичный сценарий ниже: часть из 4 млн — неактивные клиенты. https://abnews.ru/news/2026/6/1/vtb-zapustit-nakopitelnyj-schet-dlya-molodezhi</t>
        </is>
      </c>
    </row>
    <row r="13">
      <c r="A13" s="6" t="inlineStr">
        <is>
          <t>Доля ВТБ среди 18–25 лет с картой</t>
        </is>
      </c>
      <c r="B13" s="6" t="inlineStr">
        <is>
          <t>доля</t>
        </is>
      </c>
      <c r="C13" s="19" t="n">
        <v>0.22</v>
      </c>
      <c r="D13" s="19" t="n">
        <v>0.28</v>
      </c>
      <c r="E13" s="19" t="n">
        <v>0.32</v>
      </c>
      <c r="F13" s="17" t="inlineStr">
        <is>
          <t>Калибровка по факту 4 млн клиентов 14–25 (см. выше). Для сравнения: 30,3 млн активных розничных клиентов ВТБ на конец 2025 г. ≈ четверть банковского населения. https://finance.rambler.ru/business/55672832/</t>
        </is>
      </c>
    </row>
    <row r="14">
      <c r="A14" s="6" t="inlineStr">
        <is>
          <t>Дропов выявляет ЦБ в месяц (2026)</t>
        </is>
      </c>
      <c r="B14" s="6" t="inlineStr">
        <is>
          <t>чел./мес</t>
        </is>
      </c>
      <c r="C14" s="16" t="n">
        <v>40000</v>
      </c>
      <c r="D14" s="16" t="n">
        <v>40000</v>
      </c>
      <c r="E14" s="16" t="n">
        <v>40000</v>
      </c>
      <c r="F14" s="17" t="inlineStr">
        <is>
          <t>Б. Шабля (ЦБ), 23.09.2026: ~100 тыс./мес в 2025 → не более 40 тыс./мес в 2026. https://www.interfax.ru/business/1117991 (docs/research/evidence.md № 5)</t>
        </is>
      </c>
    </row>
    <row r="15">
      <c r="A15" s="6" t="inlineStr">
        <is>
          <t>Доля людей 14–22 лет среди дропов</t>
        </is>
      </c>
      <c r="B15" s="6" t="inlineStr">
        <is>
          <t>доля</t>
        </is>
      </c>
      <c r="C15" s="18" t="n">
        <v>0.4</v>
      </c>
      <c r="D15" s="18" t="n">
        <v>0.45</v>
      </c>
      <c r="E15" s="18" t="n">
        <v>0.5</v>
      </c>
      <c r="F15" s="17" t="inlineStr">
        <is>
          <t>ЦБ: более 50% базы дропов — моложе 25 лет (А. Афонин, сент. 2026); 14–22 — часть этой группы. Несовершеннолетних среди дроп-счетов 16% (Шабля, I пол. 2026).</t>
        </is>
      </c>
    </row>
    <row r="16">
      <c r="A16" s="6" t="inlineStr">
        <is>
          <t>Родилось в 2001–2003 гг. (в 2026 им 23–25 лет) — для сверки с фактом ВТБ</t>
        </is>
      </c>
      <c r="B16" s="6" t="inlineStr">
        <is>
          <t>тыс. чел.</t>
        </is>
      </c>
      <c r="C16" s="16" t="n">
        <v>4185.8</v>
      </c>
      <c r="D16" s="16" t="n">
        <v>4185.8</v>
      </c>
      <c r="E16" s="16" t="n">
        <v>4185.8</v>
      </c>
      <c r="F16" s="17" t="inlineStr">
        <is>
          <t>Росстат: 2001 — 1311,6; 2002 — 1397,0; 2003 — 1477,3 тыс.</t>
        </is>
      </c>
    </row>
    <row r="17">
      <c r="A17" s="6" t="inlineStr">
        <is>
          <t>Факт: клиентов ВТБ 14–25 лет</t>
        </is>
      </c>
      <c r="B17" s="6" t="inlineStr">
        <is>
          <t>тыс. чел.</t>
        </is>
      </c>
      <c r="C17" s="16" t="n">
        <v>4000</v>
      </c>
      <c r="D17" s="16" t="n">
        <v>4000</v>
      </c>
      <c r="E17" s="16" t="n">
        <v>4000</v>
      </c>
      <c r="F17" s="17" t="inlineStr">
        <is>
          <t>ВТБ, июнь 2026: «клиентская база банка в возрасте 14–25 лет превышает 4 млн человек». https://abnews.ru/news/2026/6/1/vtb-zapustit-nakopitelnyj-schet-dlya-molodezhi</t>
        </is>
      </c>
    </row>
    <row r="18"/>
    <row r="19">
      <c r="A19" s="4" t="inlineStr">
        <is>
          <t>2. Экономика молодого клиента</t>
        </is>
      </c>
      <c r="B19" s="5" t="n"/>
      <c r="C19" s="5" t="n"/>
      <c r="D19" s="5" t="n"/>
      <c r="E19" s="5" t="n"/>
      <c r="F19" s="5" t="n"/>
    </row>
    <row r="20">
      <c r="A20" s="6" t="inlineStr">
        <is>
          <t>Средние траты по карте молодого клиента</t>
        </is>
      </c>
      <c r="B20" s="6" t="inlineStr">
        <is>
          <t>₽/мес</t>
        </is>
      </c>
      <c r="C20" s="20" t="n">
        <v>10000</v>
      </c>
      <c r="D20" s="20" t="n">
        <v>12000</v>
      </c>
      <c r="E20" s="20" t="n">
        <v>14000</v>
      </c>
      <c r="F20" s="17" t="inlineStr">
        <is>
          <t>Допущение (смесь 14–17 и 18–22). Уточнить по данным ВТБ.</t>
        </is>
      </c>
    </row>
    <row r="21">
      <c r="A21" s="6" t="inlineStr">
        <is>
          <t>Чистый комиссионный доход с оборота (интерчейндж минус расходы и кешбэк)</t>
        </is>
      </c>
      <c r="B21" s="6" t="inlineStr">
        <is>
          <t>доля</t>
        </is>
      </c>
      <c r="C21" s="21" t="n">
        <v>0.008</v>
      </c>
      <c r="D21" s="21" t="n">
        <v>0.008</v>
      </c>
      <c r="E21" s="21" t="n">
        <v>0.008</v>
      </c>
      <c r="F21" s="17" t="inlineStr">
        <is>
          <t>Допущение: интерчейндж по картам «Мир» ~1–1,5% минус кешбэк и процессинг.</t>
        </is>
      </c>
    </row>
    <row r="22">
      <c r="A22" s="6" t="inlineStr">
        <is>
          <t>Средний остаток на счетах молодого клиента</t>
        </is>
      </c>
      <c r="B22" s="6" t="inlineStr">
        <is>
          <t>₽</t>
        </is>
      </c>
      <c r="C22" s="16" t="n">
        <v>6000</v>
      </c>
      <c r="D22" s="16" t="n">
        <v>8000</v>
      </c>
      <c r="E22" s="16" t="n">
        <v>10000</v>
      </c>
      <c r="F22" s="17" t="inlineStr">
        <is>
          <t>Допущение. Клиенты 14–25 хранят &gt; 60 млрд ₽ на накопительных счетах ВТБ (июнь 2026).</t>
        </is>
      </c>
    </row>
    <row r="23">
      <c r="A23" s="6" t="inlineStr">
        <is>
          <t>Процентная маржа на пассивах</t>
        </is>
      </c>
      <c r="B23" s="6" t="inlineStr">
        <is>
          <t>доля/год</t>
        </is>
      </c>
      <c r="C23" s="18" t="n">
        <v>0.04</v>
      </c>
      <c r="D23" s="18" t="n">
        <v>0.04</v>
      </c>
      <c r="E23" s="18" t="n">
        <v>0.04</v>
      </c>
      <c r="F23" s="17" t="inlineStr">
        <is>
          <t>Допущение: размещение по ставке, близкой к ключевой (14%, ЦБ 11.09.2026), минус ставка по счёту.</t>
        </is>
      </c>
    </row>
    <row r="24">
      <c r="A24" s="6" t="inlineStr">
        <is>
          <t>Расходы на обслуживание молодого клиента</t>
        </is>
      </c>
      <c r="B24" s="6" t="inlineStr">
        <is>
          <t>₽/год</t>
        </is>
      </c>
      <c r="C24" s="16" t="n">
        <v>400</v>
      </c>
      <c r="D24" s="16" t="n">
        <v>400</v>
      </c>
      <c r="E24" s="16" t="n">
        <v>400</v>
      </c>
      <c r="F24" s="17" t="inlineStr">
        <is>
          <t>Допущение: выпуск карты, поддержка, ИТ.</t>
        </is>
      </c>
    </row>
    <row r="25">
      <c r="A25" s="6" t="inlineStr">
        <is>
          <t>Годовой отток молодых клиентов</t>
        </is>
      </c>
      <c r="B25" s="6" t="inlineStr">
        <is>
          <t>доля/год</t>
        </is>
      </c>
      <c r="C25" s="18" t="n">
        <v>0.15</v>
      </c>
      <c r="D25" s="18" t="n">
        <v>0.15</v>
      </c>
      <c r="E25" s="18" t="n">
        <v>0.15</v>
      </c>
      <c r="F25" s="17" t="inlineStr">
        <is>
          <t>Допущение. Уточнить по когортам ВТБ.</t>
        </is>
      </c>
    </row>
    <row r="26"/>
    <row r="27">
      <c r="A27" s="4" t="inlineStr">
        <is>
          <t>3. Затраты банка на один дроп-кейс</t>
        </is>
      </c>
      <c r="B27" s="5" t="n"/>
      <c r="C27" s="5" t="n"/>
      <c r="D27" s="5" t="n"/>
      <c r="E27" s="5" t="n"/>
      <c r="F27" s="5" t="n"/>
    </row>
    <row r="28">
      <c r="A28" s="6" t="inlineStr">
        <is>
          <t>Часы антифрод-аналитика на расследование и блокировку</t>
        </is>
      </c>
      <c r="B28" s="6" t="inlineStr">
        <is>
          <t>ч</t>
        </is>
      </c>
      <c r="C28" s="22" t="n">
        <v>2</v>
      </c>
      <c r="D28" s="22" t="n">
        <v>2</v>
      </c>
      <c r="E28" s="22" t="n">
        <v>2</v>
      </c>
      <c r="F28" s="17" t="inlineStr">
        <is>
          <t>Допущение: разбор операций, блокировка, обмен с ФинЦЕРТ.</t>
        </is>
      </c>
    </row>
    <row r="29">
      <c r="A29" s="6" t="inlineStr">
        <is>
          <t>Полная стоимость часа аналитика</t>
        </is>
      </c>
      <c r="B29" s="6" t="inlineStr">
        <is>
          <t>₽/ч</t>
        </is>
      </c>
      <c r="C29" s="16" t="n">
        <v>1800</v>
      </c>
      <c r="D29" s="16" t="n">
        <v>1800</v>
      </c>
      <c r="E29" s="16" t="n">
        <v>1800</v>
      </c>
      <c r="F29" s="17" t="inlineStr">
        <is>
          <t>Допущение: ~250 тыс. ₽/мес брутто × 1,5 / 165 ч.</t>
        </is>
      </c>
    </row>
    <row r="30">
      <c r="A30" s="6" t="inlineStr">
        <is>
          <t>Звонков в контакт-центр по одному кейсу</t>
        </is>
      </c>
      <c r="B30" s="6" t="inlineStr">
        <is>
          <t>шт.</t>
        </is>
      </c>
      <c r="C30" s="22" t="n">
        <v>3</v>
      </c>
      <c r="D30" s="22" t="n">
        <v>3</v>
      </c>
      <c r="E30" s="22" t="n">
        <v>3</v>
      </c>
      <c r="F30" s="17" t="inlineStr">
        <is>
          <t>Допущение: блокировка, разбор, разблокировка.</t>
        </is>
      </c>
    </row>
    <row r="31">
      <c r="A31" s="6" t="inlineStr">
        <is>
          <t>Стоимость одного звонка в контакт-центр</t>
        </is>
      </c>
      <c r="B31" s="6" t="inlineStr">
        <is>
          <t>₽</t>
        </is>
      </c>
      <c r="C31" s="16" t="n">
        <v>250</v>
      </c>
      <c r="D31" s="16" t="n">
        <v>250</v>
      </c>
      <c r="E31" s="16" t="n">
        <v>250</v>
      </c>
      <c r="F31" s="17" t="inlineStr">
        <is>
          <t>Допущение: ~5 мин × ~50 ₽/мин полной стоимости оператора. Публичных данных банков нет.</t>
        </is>
      </c>
    </row>
    <row r="32">
      <c r="A32" s="6" t="inlineStr">
        <is>
          <t>Доля кейсов с обжалованием (база ЦБ, жалобы)</t>
        </is>
      </c>
      <c r="B32" s="6" t="inlineStr">
        <is>
          <t>доля</t>
        </is>
      </c>
      <c r="C32" s="18" t="n">
        <v>0.5</v>
      </c>
      <c r="D32" s="18" t="n">
        <v>0.5</v>
      </c>
      <c r="E32" s="18" t="n">
        <v>0.5</v>
      </c>
      <c r="F32" s="17" t="inlineStr">
        <is>
          <t>Допущение. ЦБ: &gt; 50% заявлений об исключении из базы — от людей моложе 25 лет (evidence.md № 3).</t>
        </is>
      </c>
    </row>
    <row r="33">
      <c r="A33" s="6" t="inlineStr">
        <is>
          <t>Стоимость обработки обжалования</t>
        </is>
      </c>
      <c r="B33" s="6" t="inlineStr">
        <is>
          <t>₽</t>
        </is>
      </c>
      <c r="C33" s="16" t="n">
        <v>1500</v>
      </c>
      <c r="D33" s="16" t="n">
        <v>1500</v>
      </c>
      <c r="E33" s="16" t="n">
        <v>1500</v>
      </c>
      <c r="F33" s="17" t="inlineStr">
        <is>
          <t>Допущение: ~1 ч специалиста.</t>
        </is>
      </c>
    </row>
    <row r="34">
      <c r="A34" s="6" t="inlineStr">
        <is>
          <t>Прочие операционные расходы на кейс (отчётность, документы)</t>
        </is>
      </c>
      <c r="B34" s="6" t="inlineStr">
        <is>
          <t>₽</t>
        </is>
      </c>
      <c r="C34" s="16" t="n">
        <v>500</v>
      </c>
      <c r="D34" s="16" t="n">
        <v>500</v>
      </c>
      <c r="E34" s="16" t="n">
        <v>500</v>
      </c>
      <c r="F34" s="17" t="inlineStr">
        <is>
          <t>Допущение.</t>
        </is>
      </c>
    </row>
    <row r="35">
      <c r="A35" s="6" t="inlineStr">
        <is>
          <t>Доля дроп-кейсов, после которых клиент потерян</t>
        </is>
      </c>
      <c r="B35" s="6" t="inlineStr">
        <is>
          <t>доля</t>
        </is>
      </c>
      <c r="C35" s="18" t="n">
        <v>0.7</v>
      </c>
      <c r="D35" s="18" t="n">
        <v>0.7</v>
      </c>
      <c r="E35" s="18" t="n">
        <v>0.7</v>
      </c>
      <c r="F35" s="17" t="inlineStr">
        <is>
          <t>Допущение: ограничение ДБО, закрытие счетов, уход клиента.</t>
        </is>
      </c>
    </row>
    <row r="36">
      <c r="A36" s="6" t="inlineStr">
        <is>
          <t>Чужих денег проходит через один дроп-счёт (для социального эффекта)</t>
        </is>
      </c>
      <c r="B36" s="6" t="inlineStr">
        <is>
          <t>₽</t>
        </is>
      </c>
      <c r="C36" s="16" t="n">
        <v>150000</v>
      </c>
      <c r="D36" s="16" t="n">
        <v>150000</v>
      </c>
      <c r="E36" s="16" t="n">
        <v>150000</v>
      </c>
      <c r="F36" s="17" t="inlineStr">
        <is>
          <t>Оценка: средний чек хищения 18,6 тыс. ₽ (ЦБ, обзор за 2025) × ~8 операций до блокировки. В NPV не входит.</t>
        </is>
      </c>
    </row>
    <row r="37"/>
    <row r="38">
      <c r="A38" s="4" t="inlineStr">
        <is>
          <t>4. Эффект продукта (гипотезы, проверяем на пилоте)</t>
        </is>
      </c>
      <c r="B38" s="5" t="n"/>
      <c r="C38" s="5" t="n"/>
      <c r="D38" s="5" t="n"/>
      <c r="E38" s="5" t="n"/>
      <c r="F38" s="5" t="n"/>
    </row>
    <row r="39">
      <c r="A39" s="6" t="inlineStr">
        <is>
          <t>Доля дроп-кейсов молодёжи, которые остановит перехват перевода + «Безопасный выход»</t>
        </is>
      </c>
      <c r="B39" s="6" t="inlineStr">
        <is>
          <t>доля</t>
        </is>
      </c>
      <c r="C39" s="19" t="n">
        <v>0.08</v>
      </c>
      <c r="D39" s="19" t="n">
        <v>0.15</v>
      </c>
      <c r="E39" s="19" t="n">
        <v>0.25</v>
      </c>
      <c r="F39" s="17" t="inlineStr">
        <is>
          <t>Гипотеза для A/B-пилота. Перехват работает в переводах у ВСЕХ молодых клиентов, не только у пользователей раздела. На синтетике CatBoost ловит 99% транзитов при 0,9% ложных перехватов (ml/reports/metrics.md), но в жизни часть людей продолжит, а часть схем идёт мимо переводов (передача карты, наличные) — поэтому берём 8–25%.</t>
        </is>
      </c>
    </row>
    <row r="40">
      <c r="A40" s="6" t="inlineStr">
        <is>
          <t>Дополнительное снижение у активных пользователей раздела (уроки, квест, Щит)</t>
        </is>
      </c>
      <c r="B40" s="6" t="inlineStr">
        <is>
          <t>доля</t>
        </is>
      </c>
      <c r="C40" s="19" t="n">
        <v>0.03</v>
      </c>
      <c r="D40" s="19" t="n">
        <v>0.1</v>
      </c>
      <c r="E40" s="19" t="n">
        <v>0.15</v>
      </c>
      <c r="F40" s="17" t="inlineStr">
        <is>
          <t>Гипотеза: тот, кто прошёл урок про дропов или проверил сообщение в Щите, реже соглашается на «подработку».</t>
        </is>
      </c>
    </row>
    <row r="41">
      <c r="A41" s="6" t="inlineStr">
        <is>
          <t>Снижение оттока у пользователей раздела</t>
        </is>
      </c>
      <c r="B41" s="6" t="inlineStr">
        <is>
          <t>п.п./год</t>
        </is>
      </c>
      <c r="C41" s="19" t="n">
        <v>0.005</v>
      </c>
      <c r="D41" s="19" t="n">
        <v>0.015</v>
      </c>
      <c r="E41" s="19" t="n">
        <v>0.025</v>
      </c>
      <c r="F41" s="17" t="inlineStr">
        <is>
          <t>Гипотеза: регулярное использование раздела (уроки, XP, защита) повышает вовлечённость.</t>
        </is>
      </c>
    </row>
    <row r="42">
      <c r="A42" s="6" t="inlineStr">
        <is>
          <t>Обращений в КЦ о блокировках и мошенничестве на молодого клиента</t>
        </is>
      </c>
      <c r="B42" s="6" t="inlineStr">
        <is>
          <t>шт./год</t>
        </is>
      </c>
      <c r="C42" s="23" t="n">
        <v>0.05</v>
      </c>
      <c r="D42" s="23" t="n">
        <v>0.1</v>
      </c>
      <c r="E42" s="23" t="n">
        <v>0.15</v>
      </c>
      <c r="F42" s="17" t="inlineStr">
        <is>
          <t>Допущение. ЦБ: жалоб на отказы и ограничения стало вшестеро больше — 23,8 тыс. за янв.–июль 2026 (evidence.md № 18).</t>
        </is>
      </c>
    </row>
    <row r="43">
      <c r="A43" s="6" t="inlineStr">
        <is>
          <t>Доля обращений, закрытых самообслуживанием («Безопасный выход», объяснения)</t>
        </is>
      </c>
      <c r="B43" s="6" t="inlineStr">
        <is>
          <t>доля</t>
        </is>
      </c>
      <c r="C43" s="18" t="n">
        <v>0.25</v>
      </c>
      <c r="D43" s="18" t="n">
        <v>0.4</v>
      </c>
      <c r="E43" s="18" t="n">
        <v>0.5</v>
      </c>
      <c r="F43" s="17" t="inlineStr">
        <is>
          <t>Гипотеза: объяснение причины на экране + пошаговый план без звонка.</t>
        </is>
      </c>
    </row>
    <row r="44">
      <c r="A44" s="6" t="inlineStr">
        <is>
          <t>Привлечение новых молодых клиентов ВТБ в год (без продукта)</t>
        </is>
      </c>
      <c r="B44" s="6" t="inlineStr">
        <is>
          <t>чел./год</t>
        </is>
      </c>
      <c r="C44" s="20" t="n">
        <v>450000</v>
      </c>
      <c r="D44" s="20" t="n">
        <v>450000</v>
      </c>
      <c r="E44" s="20" t="n">
        <v>450000</v>
      </c>
      <c r="F44" s="17" t="inlineStr">
        <is>
          <t>Допущение: чтобы база ~2,9 млн не сокращалась при оттоке 15%, банку нужно привлекать ~450 тыс. молодых клиентов в год. ЗАПРОСИТЬ У ВТБ.</t>
        </is>
      </c>
    </row>
    <row r="45">
      <c r="A45" s="6" t="inlineStr">
        <is>
          <t>Прирост привлечения благодаря продукту</t>
        </is>
      </c>
      <c r="B45" s="6" t="inlineStr">
        <is>
          <t>доля</t>
        </is>
      </c>
      <c r="C45" s="19" t="n">
        <v>0.01</v>
      </c>
      <c r="D45" s="19" t="n">
        <v>0.03</v>
      </c>
      <c r="E45" s="19" t="n">
        <v>0.05</v>
      </c>
      <c r="F45" s="17" t="inlineStr">
        <is>
          <t>Гипотеза: «банк, который защищает подростка» — аргумент для родителей; партнёрства со школами и вузами.</t>
        </is>
      </c>
    </row>
    <row r="46"/>
    <row r="47">
      <c r="A47" s="4" t="inlineStr">
        <is>
          <t>4б. Масштабирование перехвата на клиентов 23+ (этап 2)</t>
        </is>
      </c>
      <c r="B47" s="5" t="n"/>
      <c r="C47" s="5" t="n"/>
      <c r="D47" s="5" t="n"/>
      <c r="E47" s="5" t="n"/>
      <c r="F47" s="5" t="n"/>
    </row>
    <row r="48">
      <c r="A48" s="6" t="inlineStr">
        <is>
          <t>Включить этап 2 (1 — да, 0 — нет)</t>
        </is>
      </c>
      <c r="B48" s="6" t="inlineStr">
        <is>
          <t>0/1</t>
        </is>
      </c>
      <c r="C48" s="24" t="n">
        <v>1</v>
      </c>
      <c r="D48" s="24" t="n">
        <v>1</v>
      </c>
      <c r="E48" s="24" t="n">
        <v>1</v>
      </c>
      <c r="F48" s="17" t="inlineStr">
        <is>
          <t>Движок перехвата и «Безопасный выход» не зависят от возраста: после пилота на молодёжи их можно включить для всех.</t>
        </is>
      </c>
    </row>
    <row r="49">
      <c r="A49" s="6" t="inlineStr">
        <is>
          <t>Квартал запуска этапа 2 (номер периода)</t>
        </is>
      </c>
      <c r="B49" s="6" t="inlineStr">
        <is>
          <t>№</t>
        </is>
      </c>
      <c r="C49" s="24" t="n">
        <v>6</v>
      </c>
      <c r="D49" s="24" t="n">
        <v>6</v>
      </c>
      <c r="E49" s="24" t="n">
        <v>6</v>
      </c>
      <c r="F49" s="17" t="inlineStr">
        <is>
          <t>Q2 2028 — после полугода работы на молодёжи.</t>
        </is>
      </c>
    </row>
    <row r="50">
      <c r="A50" s="6" t="inlineStr">
        <is>
          <t>Доля людей 23+ среди дропов</t>
        </is>
      </c>
      <c r="B50" s="6" t="inlineStr">
        <is>
          <t>доля</t>
        </is>
      </c>
      <c r="C50" s="18" t="n">
        <v>0.5</v>
      </c>
      <c r="D50" s="18" t="n">
        <v>0.5</v>
      </c>
      <c r="E50" s="18" t="n">
        <v>0.5</v>
      </c>
      <c r="F50" s="17" t="inlineStr">
        <is>
          <t>ЦБ: более 50% базы дропов моложе 25 лет → 23+ — около половины.</t>
        </is>
      </c>
    </row>
    <row r="51">
      <c r="A51" s="6" t="inlineStr">
        <is>
          <t>Доля дроп-кейсов 23+, приходящихся на ВТБ</t>
        </is>
      </c>
      <c r="B51" s="6" t="inlineStr">
        <is>
          <t>доля</t>
        </is>
      </c>
      <c r="C51" s="19" t="n">
        <v>0.1</v>
      </c>
      <c r="D51" s="19" t="n">
        <v>0.13</v>
      </c>
      <c r="E51" s="19" t="n">
        <v>0.16</v>
      </c>
      <c r="F51" s="17" t="inlineStr">
        <is>
          <t>Допущение: ВТБ — 30,3 млн активных клиентов (≈ четверть банковского населения), но дропы уходят в небольшие банки (ЦБ, РГ 17.04.2025) — берём ниже доли рынка. ЗАПРОСИТЬ У ВТБ.</t>
        </is>
      </c>
    </row>
    <row r="52">
      <c r="A52" s="6" t="inlineStr">
        <is>
          <t>Доля дроп-кейсов 23+, которые остановит перехват</t>
        </is>
      </c>
      <c r="B52" s="6" t="inlineStr">
        <is>
          <t>доля</t>
        </is>
      </c>
      <c r="C52" s="19" t="n">
        <v>0.04</v>
      </c>
      <c r="D52" s="19" t="n">
        <v>0.08</v>
      </c>
      <c r="E52" s="19" t="n">
        <v>0.12</v>
      </c>
      <c r="F52" s="17" t="inlineStr">
        <is>
          <t>Гипотеза: взрослые дропы чаще действуют осознанно, эффект ниже, чем у молодёжи.</t>
        </is>
      </c>
    </row>
    <row r="53">
      <c r="A53" s="6" t="inlineStr">
        <is>
          <t>Маржинальный доход взрослого розничного клиента</t>
        </is>
      </c>
      <c r="B53" s="6" t="inlineStr">
        <is>
          <t>₽/год</t>
        </is>
      </c>
      <c r="C53" s="16" t="n">
        <v>2000</v>
      </c>
      <c r="D53" s="16" t="n">
        <v>3000</v>
      </c>
      <c r="E53" s="16" t="n">
        <v>4000</v>
      </c>
      <c r="F53" s="17" t="inlineStr">
        <is>
          <t>Допущение. Розница ВТБ вышла в прибыль в 2026 г. после убытка в 2025 г. Уточнить по сегментной отчётности МСФО.</t>
        </is>
      </c>
    </row>
    <row r="54">
      <c r="A54" s="6" t="inlineStr">
        <is>
          <t>Годовой отток взрослых клиентов</t>
        </is>
      </c>
      <c r="B54" s="6" t="inlineStr">
        <is>
          <t>доля/год</t>
        </is>
      </c>
      <c r="C54" s="18" t="n">
        <v>0.1</v>
      </c>
      <c r="D54" s="18" t="n">
        <v>0.1</v>
      </c>
      <c r="E54" s="18" t="n">
        <v>0.1</v>
      </c>
      <c r="F54" s="17" t="inlineStr">
        <is>
          <t>Допущение.</t>
        </is>
      </c>
    </row>
    <row r="55"/>
    <row r="56">
      <c r="A56" s="4" t="inlineStr">
        <is>
          <t>4в. Стратегическая ценность молодого клиента (вне NPV)</t>
        </is>
      </c>
      <c r="B56" s="5" t="n"/>
      <c r="C56" s="5" t="n"/>
      <c r="D56" s="5" t="n"/>
      <c r="E56" s="5" t="n"/>
      <c r="F56" s="5" t="n"/>
    </row>
    <row r="57">
      <c r="A57" s="6" t="inlineStr">
        <is>
          <t>Доля молодых клиентов, которые остаются в банке после 23 лет</t>
        </is>
      </c>
      <c r="B57" s="6" t="inlineStr">
        <is>
          <t>доля</t>
        </is>
      </c>
      <c r="C57" s="18" t="n">
        <v>0.3</v>
      </c>
      <c r="D57" s="18" t="n">
        <v>0.4</v>
      </c>
      <c r="E57" s="18" t="n">
        <v>0.5</v>
      </c>
      <c r="F57" s="17" t="inlineStr">
        <is>
          <t>Допущение. Смысл молодёжных продуктов банков — «клиент с 14 лет»: зарплатный проект, кредиты, ипотека.</t>
        </is>
      </c>
    </row>
    <row r="58">
      <c r="A58" s="6" t="inlineStr">
        <is>
          <t>Лет в среднем до 23 лет</t>
        </is>
      </c>
      <c r="B58" s="6" t="inlineStr">
        <is>
          <t>лет</t>
        </is>
      </c>
      <c r="C58" s="24" t="n">
        <v>4</v>
      </c>
      <c r="D58" s="24" t="n">
        <v>4</v>
      </c>
      <c r="E58" s="24" t="n">
        <v>4</v>
      </c>
      <c r="F58" s="17" t="inlineStr">
        <is>
          <t>Средний клиент 14–22 → ~4 года до 23.</t>
        </is>
      </c>
    </row>
    <row r="59">
      <c r="A59" s="6" t="inlineStr">
        <is>
          <t>Горизонт взрослой жизни клиента в банке для оценки</t>
        </is>
      </c>
      <c r="B59" s="6" t="inlineStr">
        <is>
          <t>лет</t>
        </is>
      </c>
      <c r="C59" s="24" t="n">
        <v>7</v>
      </c>
      <c r="D59" s="24" t="n">
        <v>7</v>
      </c>
      <c r="E59" s="24" t="n">
        <v>7</v>
      </c>
      <c r="F59" s="17" t="inlineStr">
        <is>
          <t>Консервативно.</t>
        </is>
      </c>
    </row>
    <row r="60"/>
    <row r="61">
      <c r="A61" s="4" t="inlineStr">
        <is>
          <t>4г. Мост из «Детского банка» и «Пушкинская карта» (новые каналы)</t>
        </is>
      </c>
      <c r="B61" s="5" t="n"/>
      <c r="C61" s="5" t="n"/>
      <c r="D61" s="5" t="n"/>
      <c r="E61" s="5" t="n"/>
      <c r="F61" s="5" t="n"/>
    </row>
    <row r="62">
      <c r="A62" s="6" t="inlineStr">
        <is>
          <t>Включить мост «Детский банк» → «Старт» (1 — да, 0 — нет)</t>
        </is>
      </c>
      <c r="B62" s="6" t="inlineStr">
        <is>
          <t>0/1</t>
        </is>
      </c>
      <c r="C62" s="24" t="n">
        <v>1</v>
      </c>
      <c r="D62" s="24" t="n">
        <v>1</v>
      </c>
      <c r="E62" s="24" t="n">
        <v>1</v>
      </c>
      <c r="F62" s="17" t="inlineStr">
        <is>
          <t>Сценарный переключатель.</t>
        </is>
      </c>
    </row>
    <row r="63">
      <c r="A63" s="6" t="inlineStr">
        <is>
          <t>Детей, которым исполняется 14 лет, в год</t>
        </is>
      </c>
      <c r="B63" s="6" t="inlineStr">
        <is>
          <t>чел./год</t>
        </is>
      </c>
      <c r="C63" s="16" t="n">
        <v>1900000</v>
      </c>
      <c r="D63" s="16" t="n">
        <v>1900000</v>
      </c>
      <c r="E63" s="16" t="n">
        <v>1900000</v>
      </c>
      <c r="F63" s="17" t="inlineStr">
        <is>
          <t>Росстат: родилось 1 902 тыс. в 2012 г. и 1 896 тыс. в 2013 г.</t>
        </is>
      </c>
    </row>
    <row r="64">
      <c r="A64" s="6" t="inlineStr">
        <is>
          <t>Доля из них с картой «Детского банка» ВТБ</t>
        </is>
      </c>
      <c r="B64" s="6" t="inlineStr">
        <is>
          <t>доля</t>
        </is>
      </c>
      <c r="C64" s="19" t="n">
        <v>0.04</v>
      </c>
      <c r="D64" s="19" t="n">
        <v>0.06</v>
      </c>
      <c r="E64" s="19" t="n">
        <v>0.08</v>
      </c>
      <c r="F64" s="17" t="inlineStr">
        <is>
          <t>Допущение: «Детский банк» запущен в сент. 2026; к 2028 г. — 4–8% когорты. ЗАПРОСИТЬ У ВТБ.</t>
        </is>
      </c>
    </row>
    <row r="65">
      <c r="A65" s="6" t="inlineStr">
        <is>
          <t>Сколько из них дополнительно останутся в ВТБ благодаря мосту</t>
        </is>
      </c>
      <c r="B65" s="6" t="inlineStr">
        <is>
          <t>доля</t>
        </is>
      </c>
      <c r="C65" s="19" t="n">
        <v>0.05</v>
      </c>
      <c r="D65" s="19" t="n">
        <v>0.1</v>
      </c>
      <c r="E65" s="19" t="n">
        <v>0.15</v>
      </c>
      <c r="F65" s="17" t="inlineStr">
        <is>
          <t>Гипотеза: у конкурентов (Сбер, Т-Банк, Альфа) в 14 лет нужна новая заявка на новый продукт, и в этот момент подросток уходит; мост переносит цели, копилку и XP в «Старт» в одно касание (docs/research/competitors.md, раздел 4).</t>
        </is>
      </c>
    </row>
    <row r="66">
      <c r="A66" s="6" t="inlineStr">
        <is>
          <t>Включить канал «Пушкинской карты» (1 — да, 0 — нет)</t>
        </is>
      </c>
      <c r="B66" s="6" t="inlineStr">
        <is>
          <t>0/1</t>
        </is>
      </c>
      <c r="C66" s="24" t="n">
        <v>1</v>
      </c>
      <c r="D66" s="24" t="n">
        <v>1</v>
      </c>
      <c r="E66" s="24" t="n">
        <v>1</v>
      </c>
      <c r="F66" s="17" t="inlineStr">
        <is>
          <t>Сценарный переключатель.</t>
        </is>
      </c>
    </row>
    <row r="67">
      <c r="A67" s="6" t="inlineStr">
        <is>
          <t>Новых держателей «Пушкинской карты» ВТБ в год</t>
        </is>
      </c>
      <c r="B67" s="6" t="inlineStr">
        <is>
          <t>чел./год</t>
        </is>
      </c>
      <c r="C67" s="16" t="n">
        <v>1200000</v>
      </c>
      <c r="D67" s="16" t="n">
        <v>1500000</v>
      </c>
      <c r="E67" s="16" t="n">
        <v>1700000</v>
      </c>
      <c r="F67" s="17" t="inlineStr">
        <is>
          <t>ВТБ — оператор программы с 01.01.2026; почти 7 млн карт за январь–май 2026 (перевыпуск). В устойчивом режиме — новые 14-летние (~1,9 млн/год) × участие в программе. https://lenta.ru/news/2026/06/01/vtb-rasskazal-o-programme-pushkinskaya-karta/</t>
        </is>
      </c>
    </row>
    <row r="68">
      <c r="A68" s="6" t="inlineStr">
        <is>
          <t>Доля держателей, которые ещё не пользуются обычными продуктами ВТБ</t>
        </is>
      </c>
      <c r="B68" s="6" t="inlineStr">
        <is>
          <t>доля</t>
        </is>
      </c>
      <c r="C68" s="18" t="n">
        <v>0.7</v>
      </c>
      <c r="D68" s="18" t="n">
        <v>0.7</v>
      </c>
      <c r="E68" s="18" t="n">
        <v>0.7</v>
      </c>
      <c r="F68" s="17" t="inlineStr">
        <is>
          <t>Допущение: «Пушкинская карта» оформляется и через Госуслуги Культура, без счёта в ВТБ.</t>
        </is>
      </c>
    </row>
    <row r="69">
      <c r="A69" s="6" t="inlineStr">
        <is>
          <t>Конверсия держателей в клиентов ВТБ через витрину «Старта»</t>
        </is>
      </c>
      <c r="B69" s="6" t="inlineStr">
        <is>
          <t>доля</t>
        </is>
      </c>
      <c r="C69" s="19" t="n">
        <v>0.01</v>
      </c>
      <c r="D69" s="19" t="n">
        <v>0.02</v>
      </c>
      <c r="E69" s="19" t="n">
        <v>0.04</v>
      </c>
      <c r="F69" s="17" t="inlineStr">
        <is>
          <t>Гипотеза: «Старт» показываем каждому держателю в ВТБ Онлайн; повод открыть свою карту — защита, копилка, партнёрские офферы.</t>
        </is>
      </c>
    </row>
    <row r="70"/>
    <row r="71">
      <c r="A71" s="4" t="inlineStr">
        <is>
          <t>5. Внедрение</t>
        </is>
      </c>
      <c r="B71" s="5" t="n"/>
      <c r="C71" s="5" t="n"/>
      <c r="D71" s="5" t="n"/>
      <c r="E71" s="5" t="n"/>
      <c r="F71" s="5" t="n"/>
    </row>
    <row r="72">
      <c r="A72" s="6" t="inlineStr">
        <is>
          <t>Множитель кривой охвата (к базовой кривой ниже)</t>
        </is>
      </c>
      <c r="B72" s="6" t="inlineStr">
        <is>
          <t>x</t>
        </is>
      </c>
      <c r="C72" s="23" t="n">
        <v>0.6</v>
      </c>
      <c r="D72" s="23" t="n">
        <v>1</v>
      </c>
      <c r="E72" s="23" t="n">
        <v>1.25</v>
      </c>
      <c r="F72" s="17" t="inlineStr">
        <is>
          <t>Сценарный рычаг охвата.</t>
        </is>
      </c>
    </row>
    <row r="73">
      <c r="A73" s="6" t="inlineStr">
        <is>
          <t>Потолок охвата</t>
        </is>
      </c>
      <c r="B73" s="6" t="inlineStr">
        <is>
          <t>доля</t>
        </is>
      </c>
      <c r="C73" s="18" t="n">
        <v>0.6</v>
      </c>
      <c r="D73" s="18" t="n">
        <v>0.6</v>
      </c>
      <c r="E73" s="18" t="n">
        <v>0.6</v>
      </c>
      <c r="F73" s="17" t="inlineStr">
        <is>
          <t>Не больше 60% молодых клиентов пользуются разделом ежемесячно.</t>
        </is>
      </c>
    </row>
    <row r="74">
      <c r="A74" s="6" t="inlineStr">
        <is>
          <t>Кварталов разработки и пилота (полная команда)</t>
        </is>
      </c>
      <c r="B74" s="6" t="inlineStr">
        <is>
          <t>кв.</t>
        </is>
      </c>
      <c r="C74" s="24" t="n">
        <v>3</v>
      </c>
      <c r="D74" s="24" t="n">
        <v>3</v>
      </c>
      <c r="E74" s="24" t="n">
        <v>3</v>
      </c>
      <c r="F74" s="17" t="inlineStr">
        <is>
          <t>Q1–Q2 2027 — разработка и интеграция в ВТБ Онлайн, Q3 2027 — пилот (A/B в 1–2 регионах).</t>
        </is>
      </c>
    </row>
    <row r="75">
      <c r="A75" s="6" t="inlineStr">
        <is>
          <t>Квартал полного запуска (номер периода)</t>
        </is>
      </c>
      <c r="B75" s="6" t="inlineStr">
        <is>
          <t>№</t>
        </is>
      </c>
      <c r="C75" s="24" t="n">
        <v>4</v>
      </c>
      <c r="D75" s="24" t="n">
        <v>4</v>
      </c>
      <c r="E75" s="24" t="n">
        <v>4</v>
      </c>
      <c r="F75" s="17" t="inlineStr">
        <is>
          <t>Q4 2027.</t>
        </is>
      </c>
    </row>
    <row r="76">
      <c r="A76" s="6" t="inlineStr">
        <is>
          <t>Страховые взносы на ФОТ</t>
        </is>
      </c>
      <c r="B76" s="6" t="inlineStr">
        <is>
          <t>доля</t>
        </is>
      </c>
      <c r="C76" s="18" t="n">
        <v>0.3</v>
      </c>
      <c r="D76" s="18" t="n">
        <v>0.3</v>
      </c>
      <c r="E76" s="18" t="n">
        <v>0.3</v>
      </c>
      <c r="F76" s="17" t="inlineStr">
        <is>
          <t>НК РФ: единый тариф 30% (упрощённо).</t>
        </is>
      </c>
    </row>
    <row r="77">
      <c r="A77" s="6" t="inlineStr">
        <is>
          <t>Накладные расходы на сотрудника (рабочее место, лицензии)</t>
        </is>
      </c>
      <c r="B77" s="6" t="inlineStr">
        <is>
          <t>доля</t>
        </is>
      </c>
      <c r="C77" s="18" t="n">
        <v>0.15</v>
      </c>
      <c r="D77" s="18" t="n">
        <v>0.15</v>
      </c>
      <c r="E77" s="18" t="n">
        <v>0.15</v>
      </c>
      <c r="F77" s="17" t="inlineStr">
        <is>
          <t>Допущение.</t>
        </is>
      </c>
    </row>
    <row r="78">
      <c r="A78" s="6" t="inlineStr">
        <is>
          <t>Вознаграждения пользователям за счёт банка (геймификация)</t>
        </is>
      </c>
      <c r="B78" s="6" t="inlineStr">
        <is>
          <t>₽/MAU/год</t>
        </is>
      </c>
      <c r="C78" s="16" t="n">
        <v>30</v>
      </c>
      <c r="D78" s="16" t="n">
        <v>20</v>
      </c>
      <c r="E78" s="16" t="n">
        <v>15</v>
      </c>
      <c r="F78" s="17" t="inlineStr">
        <is>
          <t>Допущение: промо-кешбэк за уроки и квест. Основную часть призов (кино, игры, мерч) дают партнёры за размещение.</t>
        </is>
      </c>
    </row>
    <row r="79">
      <c r="A79" s="6" t="inlineStr">
        <is>
          <t>Резерв на непредвиденные расходы</t>
        </is>
      </c>
      <c r="B79" s="6" t="inlineStr">
        <is>
          <t>доля</t>
        </is>
      </c>
      <c r="C79" s="18" t="n">
        <v>0.1</v>
      </c>
      <c r="D79" s="18" t="n">
        <v>0.1</v>
      </c>
      <c r="E79" s="18" t="n">
        <v>0.1</v>
      </c>
      <c r="F79" s="17" t="inlineStr">
        <is>
          <t>Стандартный резерв проекта.</t>
        </is>
      </c>
    </row>
    <row r="80">
      <c r="A80" s="6" t="inlineStr">
        <is>
          <t>Коэффициент перерасхода бюджета</t>
        </is>
      </c>
      <c r="B80" s="6" t="inlineStr">
        <is>
          <t>x</t>
        </is>
      </c>
      <c r="C80" s="23" t="n">
        <v>1.2</v>
      </c>
      <c r="D80" s="23" t="n">
        <v>1</v>
      </c>
      <c r="E80" s="23" t="n">
        <v>0.95</v>
      </c>
      <c r="F80" s="17" t="inlineStr">
        <is>
          <t>Сценарный рычаг затрат.</t>
        </is>
      </c>
    </row>
    <row r="81">
      <c r="A81" s="6" t="inlineStr">
        <is>
          <t>Ставка дисконтирования</t>
        </is>
      </c>
      <c r="B81" s="6" t="inlineStr">
        <is>
          <t>доля/год</t>
        </is>
      </c>
      <c r="C81" s="18" t="n">
        <v>0.2</v>
      </c>
      <c r="D81" s="18" t="n">
        <v>0.18</v>
      </c>
      <c r="E81" s="18" t="n">
        <v>0.16</v>
      </c>
      <c r="F81" s="17" t="inlineStr">
        <is>
          <t>Ключевая ставка 14% (ЦБ, 11.09.2026) + премия за риск проекта 2–6 п.п.</t>
        </is>
      </c>
    </row>
    <row r="82"/>
    <row r="83">
      <c r="A83" s="4" t="inlineStr">
        <is>
          <t>6. Команда (месячная зарплата брутто, тыс. ₽)</t>
        </is>
      </c>
      <c r="B83" s="5" t="n"/>
      <c r="C83" s="5" t="n"/>
      <c r="D83" s="5" t="n"/>
      <c r="E83" s="5" t="n"/>
      <c r="F83" s="5" t="n"/>
    </row>
    <row r="84">
      <c r="A84" s="13" t="inlineStr">
        <is>
          <t>Роль</t>
        </is>
      </c>
      <c r="B84" s="13" t="inlineStr">
        <is>
          <t>Зарплата, тыс. ₽/мес</t>
        </is>
      </c>
      <c r="C84" s="13" t="inlineStr">
        <is>
          <t>FTE: разработка и пилот</t>
        </is>
      </c>
      <c r="D84" s="13" t="inlineStr">
        <is>
          <t>FTE: эксплуатация</t>
        </is>
      </c>
      <c r="E84" s="13" t="inlineStr"/>
      <c r="F84" s="13" t="inlineStr">
        <is>
          <t>Обоснование</t>
        </is>
      </c>
    </row>
    <row r="85">
      <c r="A85" s="6" t="inlineStr">
        <is>
          <t>Продакт-менеджер</t>
        </is>
      </c>
      <c r="B85" s="16" t="n">
        <v>400</v>
      </c>
      <c r="C85" s="25" t="n">
        <v>1</v>
      </c>
      <c r="D85" s="25" t="n">
        <v>0.5</v>
      </c>
      <c r="F85" s="14" t="inlineStr">
        <is>
          <t>Вилки middle в Москве 2026: 185–360 тыс. ₽/мес (Хабр Карьера, вакансии), финтех — верх вилки. https://career.habr.com/vacancies/spec/development/backend</t>
        </is>
      </c>
    </row>
    <row r="86">
      <c r="A86" s="6" t="inlineStr">
        <is>
          <t>Backend-разработчик</t>
        </is>
      </c>
      <c r="B86" s="16" t="n">
        <v>330</v>
      </c>
      <c r="C86" s="25" t="n">
        <v>2</v>
      </c>
      <c r="D86" s="25" t="n">
        <v>1</v>
      </c>
    </row>
    <row r="87">
      <c r="A87" s="6" t="inlineStr">
        <is>
          <t>Мобильный разработчик (iOS/Android, ВТБ Онлайн)</t>
        </is>
      </c>
      <c r="B87" s="16" t="n">
        <v>340</v>
      </c>
      <c r="C87" s="25" t="n">
        <v>2</v>
      </c>
      <c r="D87" s="25" t="n">
        <v>1</v>
      </c>
    </row>
    <row r="88">
      <c r="A88" s="6" t="inlineStr">
        <is>
          <t>ML-инженер</t>
        </is>
      </c>
      <c r="B88" s="16" t="n">
        <v>370</v>
      </c>
      <c r="C88" s="25" t="n">
        <v>1</v>
      </c>
      <c r="D88" s="25" t="n">
        <v>1</v>
      </c>
    </row>
    <row r="89">
      <c r="A89" s="6" t="inlineStr">
        <is>
          <t>Аналитик данных</t>
        </is>
      </c>
      <c r="B89" s="16" t="n">
        <v>260</v>
      </c>
      <c r="C89" s="25" t="n">
        <v>1</v>
      </c>
      <c r="D89" s="25" t="n">
        <v>0.5</v>
      </c>
    </row>
    <row r="90">
      <c r="A90" s="6" t="inlineStr">
        <is>
          <t>QA-инженер</t>
        </is>
      </c>
      <c r="B90" s="16" t="n">
        <v>230</v>
      </c>
      <c r="C90" s="25" t="n">
        <v>1</v>
      </c>
      <c r="D90" s="25" t="n">
        <v>0.5</v>
      </c>
    </row>
    <row r="91">
      <c r="A91" s="6" t="inlineStr">
        <is>
          <t>Дизайнер</t>
        </is>
      </c>
      <c r="B91" s="16" t="n">
        <v>260</v>
      </c>
      <c r="C91" s="25" t="n">
        <v>1</v>
      </c>
      <c r="D91" s="25" t="n">
        <v>0</v>
      </c>
    </row>
    <row r="92">
      <c r="A92" s="6" t="inlineStr">
        <is>
          <t>Специалист ИБ / комплаенс (152-ФЗ, 115-ФЗ)</t>
        </is>
      </c>
      <c r="B92" s="16" t="n">
        <v>360</v>
      </c>
      <c r="C92" s="25" t="n">
        <v>0.5</v>
      </c>
      <c r="D92" s="25" t="n">
        <v>0.25</v>
      </c>
    </row>
    <row r="93">
      <c r="A93" s="6" t="inlineStr">
        <is>
          <t>Методист и юрист по контенту</t>
        </is>
      </c>
      <c r="B93" s="16" t="n">
        <v>200</v>
      </c>
      <c r="C93" s="25" t="n">
        <v>0.5</v>
      </c>
      <c r="D93" s="25" t="n">
        <v>0.25</v>
      </c>
    </row>
    <row r="94">
      <c r="A94" s="13" t="inlineStr">
        <is>
          <t>Итого FTE</t>
        </is>
      </c>
      <c r="C94" s="13">
        <f>SUM(C85:C93)</f>
        <v/>
      </c>
      <c r="D94" s="13">
        <f>SUM(D85:D93)</f>
        <v/>
      </c>
    </row>
    <row r="95"/>
    <row r="96"/>
    <row r="97">
      <c r="A97" s="4" t="inlineStr">
        <is>
          <t>7. Кривая охвата и график затрат по кварталам (колонки C–V = Q1 2027 … Q4 2031)</t>
        </is>
      </c>
      <c r="B97" s="5" t="n"/>
      <c r="C97" s="5" t="n"/>
      <c r="D97" s="5" t="n"/>
      <c r="E97" s="5" t="n"/>
      <c r="F97" s="5" t="n"/>
    </row>
    <row r="98">
      <c r="A98" s="13" t="inlineStr">
        <is>
          <t>Период</t>
        </is>
      </c>
      <c r="C98" s="26" t="inlineStr">
        <is>
          <t>Q1 2027</t>
        </is>
      </c>
      <c r="D98" s="26" t="inlineStr">
        <is>
          <t>Q2 2027</t>
        </is>
      </c>
      <c r="E98" s="26" t="inlineStr">
        <is>
          <t>Q3 2027</t>
        </is>
      </c>
      <c r="F98" s="26" t="inlineStr">
        <is>
          <t>Q4 2027</t>
        </is>
      </c>
      <c r="G98" s="26" t="inlineStr">
        <is>
          <t>Q1 2028</t>
        </is>
      </c>
      <c r="H98" s="26" t="inlineStr">
        <is>
          <t>Q2 2028</t>
        </is>
      </c>
      <c r="I98" s="26" t="inlineStr">
        <is>
          <t>Q3 2028</t>
        </is>
      </c>
      <c r="J98" s="26" t="inlineStr">
        <is>
          <t>Q4 2028</t>
        </is>
      </c>
      <c r="K98" s="26" t="inlineStr">
        <is>
          <t>Q1 2029</t>
        </is>
      </c>
      <c r="L98" s="26" t="inlineStr">
        <is>
          <t>Q2 2029</t>
        </is>
      </c>
      <c r="M98" s="26" t="inlineStr">
        <is>
          <t>Q3 2029</t>
        </is>
      </c>
      <c r="N98" s="26" t="inlineStr">
        <is>
          <t>Q4 2029</t>
        </is>
      </c>
      <c r="O98" s="26" t="inlineStr">
        <is>
          <t>Q1 2030</t>
        </is>
      </c>
      <c r="P98" s="26" t="inlineStr">
        <is>
          <t>Q2 2030</t>
        </is>
      </c>
      <c r="Q98" s="26" t="inlineStr">
        <is>
          <t>Q3 2030</t>
        </is>
      </c>
      <c r="R98" s="26" t="inlineStr">
        <is>
          <t>Q4 2030</t>
        </is>
      </c>
      <c r="S98" s="26" t="inlineStr">
        <is>
          <t>Q1 2031</t>
        </is>
      </c>
      <c r="T98" s="26" t="inlineStr">
        <is>
          <t>Q2 2031</t>
        </is>
      </c>
      <c r="U98" s="26" t="inlineStr">
        <is>
          <t>Q3 2031</t>
        </is>
      </c>
      <c r="V98" s="26" t="inlineStr">
        <is>
          <t>Q4 2031</t>
        </is>
      </c>
    </row>
    <row r="99">
      <c r="A99" s="6" t="inlineStr">
        <is>
          <t>Охват: доля молодых клиентов ВТБ — MAU раздела (базовая кривая)</t>
        </is>
      </c>
      <c r="B99" s="6" t="inlineStr">
        <is>
          <t>доля</t>
        </is>
      </c>
      <c r="C99" s="19" t="n">
        <v>0</v>
      </c>
      <c r="D99" s="19" t="n">
        <v>0</v>
      </c>
      <c r="E99" s="19" t="n">
        <v>0.02</v>
      </c>
      <c r="F99" s="19" t="n">
        <v>0.08</v>
      </c>
      <c r="G99" s="19" t="n">
        <v>0.14</v>
      </c>
      <c r="H99" s="19" t="n">
        <v>0.2</v>
      </c>
      <c r="I99" s="19" t="n">
        <v>0.25</v>
      </c>
      <c r="J99" s="19" t="n">
        <v>0.28</v>
      </c>
      <c r="K99" s="19" t="n">
        <v>0.31</v>
      </c>
      <c r="L99" s="19" t="n">
        <v>0.33</v>
      </c>
      <c r="M99" s="19" t="n">
        <v>0.35</v>
      </c>
      <c r="N99" s="19" t="n">
        <v>0.36</v>
      </c>
      <c r="O99" s="19" t="n">
        <v>0.37</v>
      </c>
      <c r="P99" s="19" t="n">
        <v>0.38</v>
      </c>
      <c r="Q99" s="19" t="n">
        <v>0.39</v>
      </c>
      <c r="R99" s="19" t="n">
        <v>0.4</v>
      </c>
      <c r="S99" s="19" t="n">
        <v>0.4</v>
      </c>
      <c r="T99" s="19" t="n">
        <v>0.4</v>
      </c>
      <c r="U99" s="19" t="n">
        <v>0.4</v>
      </c>
      <c r="V99" s="19" t="n">
        <v>0.4</v>
      </c>
    </row>
    <row r="100">
      <c r="A100" s="6" t="inlineStr">
        <is>
          <t>Покрытие перехватом: доля молодых клиентов, у которых включён перехват</t>
        </is>
      </c>
      <c r="B100" s="6" t="inlineStr">
        <is>
          <t>доля</t>
        </is>
      </c>
      <c r="C100" s="18" t="n">
        <v>0</v>
      </c>
      <c r="D100" s="18" t="n">
        <v>0</v>
      </c>
      <c r="E100" s="18" t="n">
        <v>0.05</v>
      </c>
      <c r="F100" s="18" t="n">
        <v>1</v>
      </c>
      <c r="G100" s="18" t="n">
        <v>1</v>
      </c>
      <c r="H100" s="18" t="n">
        <v>1</v>
      </c>
      <c r="I100" s="18" t="n">
        <v>1</v>
      </c>
      <c r="J100" s="18" t="n">
        <v>1</v>
      </c>
      <c r="K100" s="18" t="n">
        <v>1</v>
      </c>
      <c r="L100" s="18" t="n">
        <v>1</v>
      </c>
      <c r="M100" s="18" t="n">
        <v>1</v>
      </c>
      <c r="N100" s="18" t="n">
        <v>1</v>
      </c>
      <c r="O100" s="18" t="n">
        <v>1</v>
      </c>
      <c r="P100" s="18" t="n">
        <v>1</v>
      </c>
      <c r="Q100" s="18" t="n">
        <v>1</v>
      </c>
      <c r="R100" s="18" t="n">
        <v>1</v>
      </c>
      <c r="S100" s="18" t="n">
        <v>1</v>
      </c>
      <c r="T100" s="18" t="n">
        <v>1</v>
      </c>
      <c r="U100" s="18" t="n">
        <v>1</v>
      </c>
      <c r="V100" s="18" t="n">
        <v>1</v>
      </c>
    </row>
    <row r="101">
      <c r="A101" s="6" t="inlineStr">
        <is>
          <t>Сервер для on-prem LLM (GPU): покупка и обновление в 2030</t>
        </is>
      </c>
      <c r="B101" s="6" t="inlineStr">
        <is>
          <t>млн ₽</t>
        </is>
      </c>
      <c r="C101" s="27" t="n">
        <v>6</v>
      </c>
      <c r="D101" s="27" t="n">
        <v>0</v>
      </c>
      <c r="E101" s="27" t="n">
        <v>0</v>
      </c>
      <c r="F101" s="27" t="n">
        <v>0</v>
      </c>
      <c r="G101" s="27" t="n">
        <v>0</v>
      </c>
      <c r="H101" s="27" t="n">
        <v>0</v>
      </c>
      <c r="I101" s="27" t="n">
        <v>0</v>
      </c>
      <c r="J101" s="27" t="n">
        <v>0</v>
      </c>
      <c r="K101" s="27" t="n">
        <v>0</v>
      </c>
      <c r="L101" s="27" t="n">
        <v>0</v>
      </c>
      <c r="M101" s="27" t="n">
        <v>0</v>
      </c>
      <c r="N101" s="27" t="n">
        <v>0</v>
      </c>
      <c r="O101" s="27" t="n">
        <v>0</v>
      </c>
      <c r="P101" s="27" t="n">
        <v>2</v>
      </c>
      <c r="Q101" s="27" t="n">
        <v>0</v>
      </c>
      <c r="R101" s="27" t="n">
        <v>0</v>
      </c>
      <c r="S101" s="27" t="n">
        <v>0</v>
      </c>
      <c r="T101" s="27" t="n">
        <v>0</v>
      </c>
      <c r="U101" s="27" t="n">
        <v>0</v>
      </c>
      <c r="V101" s="27" t="n">
        <v>0</v>
      </c>
    </row>
    <row r="102">
      <c r="A102" s="6" t="inlineStr">
        <is>
          <t>Частное облако ВТБ: сервисы, БД, мониторинг</t>
        </is>
      </c>
      <c r="B102" s="6" t="inlineStr">
        <is>
          <t>млн ₽</t>
        </is>
      </c>
      <c r="C102" s="27" t="n">
        <v>0</v>
      </c>
      <c r="D102" s="27" t="n">
        <v>0.45</v>
      </c>
      <c r="E102" s="27" t="n">
        <v>0.45</v>
      </c>
      <c r="F102" s="27" t="n">
        <v>0.45</v>
      </c>
      <c r="G102" s="27" t="n">
        <v>0.45</v>
      </c>
      <c r="H102" s="27" t="n">
        <v>0.45</v>
      </c>
      <c r="I102" s="27" t="n">
        <v>0.45</v>
      </c>
      <c r="J102" s="27" t="n">
        <v>0.45</v>
      </c>
      <c r="K102" s="27" t="n">
        <v>0.45</v>
      </c>
      <c r="L102" s="27" t="n">
        <v>0.45</v>
      </c>
      <c r="M102" s="27" t="n">
        <v>0.45</v>
      </c>
      <c r="N102" s="27" t="n">
        <v>0.45</v>
      </c>
      <c r="O102" s="27" t="n">
        <v>0.45</v>
      </c>
      <c r="P102" s="27" t="n">
        <v>0.45</v>
      </c>
      <c r="Q102" s="27" t="n">
        <v>0.45</v>
      </c>
      <c r="R102" s="27" t="n">
        <v>0.45</v>
      </c>
      <c r="S102" s="27" t="n">
        <v>0.45</v>
      </c>
      <c r="T102" s="27" t="n">
        <v>0.45</v>
      </c>
      <c r="U102" s="27" t="n">
        <v>0.45</v>
      </c>
      <c r="V102" s="27" t="n">
        <v>0.45</v>
      </c>
    </row>
    <row r="103">
      <c r="A103" s="6" t="inlineStr">
        <is>
          <t>Аудит ИБ, пентест, оценка соответствия 152-ФЗ</t>
        </is>
      </c>
      <c r="B103" s="6" t="inlineStr">
        <is>
          <t>млн ₽</t>
        </is>
      </c>
      <c r="C103" s="27" t="n">
        <v>0</v>
      </c>
      <c r="D103" s="27" t="n">
        <v>0</v>
      </c>
      <c r="E103" s="27" t="n">
        <v>3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1</v>
      </c>
      <c r="K103" s="27" t="n">
        <v>0</v>
      </c>
      <c r="L103" s="27" t="n">
        <v>0</v>
      </c>
      <c r="M103" s="27" t="n">
        <v>0</v>
      </c>
      <c r="N103" s="27" t="n">
        <v>1</v>
      </c>
      <c r="O103" s="27" t="n">
        <v>0</v>
      </c>
      <c r="P103" s="27" t="n">
        <v>0</v>
      </c>
      <c r="Q103" s="27" t="n">
        <v>0</v>
      </c>
      <c r="R103" s="27" t="n">
        <v>1</v>
      </c>
      <c r="S103" s="27" t="n">
        <v>0</v>
      </c>
      <c r="T103" s="27" t="n">
        <v>0</v>
      </c>
      <c r="U103" s="27" t="n">
        <v>0</v>
      </c>
      <c r="V103" s="27" t="n">
        <v>1</v>
      </c>
    </row>
    <row r="104">
      <c r="A104" s="6" t="inlineStr">
        <is>
          <t>Контент и юридическая экспертиза (уроки, SOS, квесты)</t>
        </is>
      </c>
      <c r="B104" s="6" t="inlineStr">
        <is>
          <t>млн ₽</t>
        </is>
      </c>
      <c r="C104" s="27" t="n">
        <v>0</v>
      </c>
      <c r="D104" s="27" t="n">
        <v>1.5</v>
      </c>
      <c r="E104" s="27" t="n">
        <v>0</v>
      </c>
      <c r="F104" s="27" t="n">
        <v>0.3</v>
      </c>
      <c r="G104" s="27" t="n">
        <v>0.3</v>
      </c>
      <c r="H104" s="27" t="n">
        <v>0.3</v>
      </c>
      <c r="I104" s="27" t="n">
        <v>0.3</v>
      </c>
      <c r="J104" s="27" t="n">
        <v>0.3</v>
      </c>
      <c r="K104" s="27" t="n">
        <v>0.3</v>
      </c>
      <c r="L104" s="27" t="n">
        <v>0.3</v>
      </c>
      <c r="M104" s="27" t="n">
        <v>0.3</v>
      </c>
      <c r="N104" s="27" t="n">
        <v>0.3</v>
      </c>
      <c r="O104" s="27" t="n">
        <v>0.3</v>
      </c>
      <c r="P104" s="27" t="n">
        <v>0.3</v>
      </c>
      <c r="Q104" s="27" t="n">
        <v>0.3</v>
      </c>
      <c r="R104" s="27" t="n">
        <v>0.3</v>
      </c>
      <c r="S104" s="27" t="n">
        <v>0.3</v>
      </c>
      <c r="T104" s="27" t="n">
        <v>0.3</v>
      </c>
      <c r="U104" s="27" t="n">
        <v>0.3</v>
      </c>
      <c r="V104" s="27" t="n">
        <v>0.3</v>
      </c>
    </row>
    <row r="105">
      <c r="A105" s="6" t="inlineStr">
        <is>
          <t>Маркетинг запуска (школы, вузы, родители, SMM)</t>
        </is>
      </c>
      <c r="B105" s="6" t="inlineStr">
        <is>
          <t>млн ₽</t>
        </is>
      </c>
      <c r="C105" s="27" t="n">
        <v>0</v>
      </c>
      <c r="D105" s="27" t="n">
        <v>0</v>
      </c>
      <c r="E105" s="27" t="n">
        <v>2</v>
      </c>
      <c r="F105" s="27" t="n">
        <v>8</v>
      </c>
      <c r="G105" s="27" t="n">
        <v>0</v>
      </c>
      <c r="H105" s="27" t="n">
        <v>0</v>
      </c>
      <c r="I105" s="27" t="n">
        <v>0</v>
      </c>
      <c r="J105" s="27" t="n">
        <v>0</v>
      </c>
      <c r="K105" s="27" t="n">
        <v>0</v>
      </c>
      <c r="L105" s="27" t="n">
        <v>0</v>
      </c>
      <c r="M105" s="27" t="n">
        <v>0</v>
      </c>
      <c r="N105" s="27" t="n">
        <v>0</v>
      </c>
      <c r="O105" s="27" t="n">
        <v>0</v>
      </c>
      <c r="P105" s="27" t="n">
        <v>0</v>
      </c>
      <c r="Q105" s="27" t="n">
        <v>0</v>
      </c>
      <c r="R105" s="27" t="n">
        <v>0</v>
      </c>
      <c r="S105" s="27" t="n">
        <v>0</v>
      </c>
      <c r="T105" s="27" t="n">
        <v>0</v>
      </c>
      <c r="U105" s="27" t="n">
        <v>0</v>
      </c>
      <c r="V105" s="27" t="n">
        <v>0</v>
      </c>
    </row>
    <row r="106">
      <c r="A106" s="6" t="inlineStr">
        <is>
          <t>Текущий маркетинг и партнёрства</t>
        </is>
      </c>
      <c r="B106" s="6" t="inlineStr">
        <is>
          <t>млн ₽</t>
        </is>
      </c>
      <c r="C106" s="27" t="n">
        <v>0</v>
      </c>
      <c r="D106" s="27" t="n">
        <v>0</v>
      </c>
      <c r="E106" s="27" t="n">
        <v>0</v>
      </c>
      <c r="F106" s="27" t="n">
        <v>0</v>
      </c>
      <c r="G106" s="27" t="n">
        <v>2</v>
      </c>
      <c r="H106" s="27" t="n">
        <v>2</v>
      </c>
      <c r="I106" s="27" t="n">
        <v>2</v>
      </c>
      <c r="J106" s="27" t="n">
        <v>2</v>
      </c>
      <c r="K106" s="27" t="n">
        <v>2</v>
      </c>
      <c r="L106" s="27" t="n">
        <v>2</v>
      </c>
      <c r="M106" s="27" t="n">
        <v>2</v>
      </c>
      <c r="N106" s="27" t="n">
        <v>2</v>
      </c>
      <c r="O106" s="27" t="n">
        <v>2</v>
      </c>
      <c r="P106" s="27" t="n">
        <v>2</v>
      </c>
      <c r="Q106" s="27" t="n">
        <v>2</v>
      </c>
      <c r="R106" s="27" t="n">
        <v>2</v>
      </c>
      <c r="S106" s="27" t="n">
        <v>2</v>
      </c>
      <c r="T106" s="27" t="n">
        <v>2</v>
      </c>
      <c r="U106" s="27" t="n">
        <v>2</v>
      </c>
      <c r="V106" s="27" t="n">
        <v>2</v>
      </c>
    </row>
    <row r="107">
      <c r="A107" s="6" t="inlineStr">
        <is>
          <t>Этап 2: доработка и поддержка перехвата для клиентов 23+</t>
        </is>
      </c>
      <c r="B107" s="6" t="inlineStr">
        <is>
          <t>млн ₽</t>
        </is>
      </c>
      <c r="C107" s="27" t="n">
        <v>0</v>
      </c>
      <c r="D107" s="27" t="n">
        <v>0</v>
      </c>
      <c r="E107" s="27" t="n">
        <v>0</v>
      </c>
      <c r="F107" s="27" t="n">
        <v>0</v>
      </c>
      <c r="G107" s="27" t="n">
        <v>3</v>
      </c>
      <c r="H107" s="27" t="n">
        <v>3</v>
      </c>
      <c r="I107" s="27" t="n">
        <v>2</v>
      </c>
      <c r="J107" s="27" t="n">
        <v>2</v>
      </c>
      <c r="K107" s="27" t="n">
        <v>2</v>
      </c>
      <c r="L107" s="27" t="n">
        <v>2</v>
      </c>
      <c r="M107" s="27" t="n">
        <v>2</v>
      </c>
      <c r="N107" s="27" t="n">
        <v>2</v>
      </c>
      <c r="O107" s="27" t="n">
        <v>2</v>
      </c>
      <c r="P107" s="27" t="n">
        <v>2</v>
      </c>
      <c r="Q107" s="27" t="n">
        <v>2</v>
      </c>
      <c r="R107" s="27" t="n">
        <v>2</v>
      </c>
      <c r="S107" s="27" t="n">
        <v>2</v>
      </c>
      <c r="T107" s="27" t="n">
        <v>2</v>
      </c>
      <c r="U107" s="27" t="n">
        <v>2</v>
      </c>
      <c r="V107" s="27" t="n">
        <v>2</v>
      </c>
    </row>
    <row r="108">
      <c r="A108" s="6" t="inlineStr">
        <is>
          <t>Мост «Детский банк» → «Старт»: интеграция и поддержка</t>
        </is>
      </c>
      <c r="B108" s="6" t="inlineStr">
        <is>
          <t>млн ₽</t>
        </is>
      </c>
      <c r="C108" s="27" t="n">
        <v>0</v>
      </c>
      <c r="D108" s="27" t="n">
        <v>2</v>
      </c>
      <c r="E108" s="27" t="n">
        <v>1</v>
      </c>
      <c r="F108" s="27" t="n">
        <v>0</v>
      </c>
      <c r="G108" s="27" t="n">
        <v>0.25</v>
      </c>
      <c r="H108" s="27" t="n">
        <v>0.25</v>
      </c>
      <c r="I108" s="27" t="n">
        <v>0.25</v>
      </c>
      <c r="J108" s="27" t="n">
        <v>0.25</v>
      </c>
      <c r="K108" s="27" t="n">
        <v>0.25</v>
      </c>
      <c r="L108" s="27" t="n">
        <v>0.25</v>
      </c>
      <c r="M108" s="27" t="n">
        <v>0.25</v>
      </c>
      <c r="N108" s="27" t="n">
        <v>0.25</v>
      </c>
      <c r="O108" s="27" t="n">
        <v>0.25</v>
      </c>
      <c r="P108" s="27" t="n">
        <v>0.25</v>
      </c>
      <c r="Q108" s="27" t="n">
        <v>0.25</v>
      </c>
      <c r="R108" s="27" t="n">
        <v>0.25</v>
      </c>
      <c r="S108" s="27" t="n">
        <v>0.25</v>
      </c>
      <c r="T108" s="27" t="n">
        <v>0.25</v>
      </c>
      <c r="U108" s="27" t="n">
        <v>0.25</v>
      </c>
      <c r="V108" s="27" t="n">
        <v>0.25</v>
      </c>
    </row>
    <row r="109">
      <c r="A109" s="6" t="inlineStr">
        <is>
          <t>«Пушкинская карта» → «Старт»: витрина и онбординг</t>
        </is>
      </c>
      <c r="B109" s="6" t="inlineStr">
        <is>
          <t>млн ₽</t>
        </is>
      </c>
      <c r="C109" s="27" t="n">
        <v>0</v>
      </c>
      <c r="D109" s="27" t="n">
        <v>0</v>
      </c>
      <c r="E109" s="27" t="n">
        <v>1.5</v>
      </c>
      <c r="F109" s="27" t="n">
        <v>0.5</v>
      </c>
      <c r="G109" s="27" t="n">
        <v>0.25</v>
      </c>
      <c r="H109" s="27" t="n">
        <v>0.25</v>
      </c>
      <c r="I109" s="27" t="n">
        <v>0.25</v>
      </c>
      <c r="J109" s="27" t="n">
        <v>0.25</v>
      </c>
      <c r="K109" s="27" t="n">
        <v>0.25</v>
      </c>
      <c r="L109" s="27" t="n">
        <v>0.25</v>
      </c>
      <c r="M109" s="27" t="n">
        <v>0.25</v>
      </c>
      <c r="N109" s="27" t="n">
        <v>0.25</v>
      </c>
      <c r="O109" s="27" t="n">
        <v>0.25</v>
      </c>
      <c r="P109" s="27" t="n">
        <v>0.25</v>
      </c>
      <c r="Q109" s="27" t="n">
        <v>0.25</v>
      </c>
      <c r="R109" s="27" t="n">
        <v>0.25</v>
      </c>
      <c r="S109" s="27" t="n">
        <v>0.25</v>
      </c>
      <c r="T109" s="27" t="n">
        <v>0.25</v>
      </c>
      <c r="U109" s="27" t="n">
        <v>0.25</v>
      </c>
      <c r="V109" s="27" t="n">
        <v>0.25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AC90"/>
  <sheetViews>
    <sheetView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Расчёт: Пессимистичный сценарий</t>
        </is>
      </c>
    </row>
    <row r="2">
      <c r="A2" s="2" t="inlineStr">
        <is>
          <t>Все значения — формулы от листа «Допущения» (колонка сценария). Деньги — млн ₽.</t>
        </is>
      </c>
    </row>
    <row r="3"/>
    <row r="4">
      <c r="A4" s="4" t="inlineStr">
        <is>
          <t>Аудитория и базовые величины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28" t="inlineStr">
        <is>
          <t>Молодёжь 14–17 лет в РФ</t>
        </is>
      </c>
      <c r="B5" s="28" t="inlineStr">
        <is>
          <t>тыс. чел.</t>
        </is>
      </c>
      <c r="C5" s="29">
        <f>'Допущения'!$C$8*'Допущения'!$C$9</f>
        <v/>
      </c>
    </row>
    <row r="6">
      <c r="A6" s="28" t="inlineStr">
        <is>
          <t>Молодёжь 18–22 лет в РФ</t>
        </is>
      </c>
      <c r="B6" s="28" t="inlineStr">
        <is>
          <t>тыс. чел.</t>
        </is>
      </c>
      <c r="C6" s="29">
        <f>'Допущения'!$C$7*'Допущения'!$C$9</f>
        <v/>
      </c>
    </row>
    <row r="7">
      <c r="A7" s="28" t="inlineStr">
        <is>
          <t>TAM: вся молодёжь 14–22</t>
        </is>
      </c>
      <c r="B7" s="28" t="inlineStr">
        <is>
          <t>тыс. чел.</t>
        </is>
      </c>
      <c r="C7" s="29">
        <f>C5+C6</f>
        <v/>
      </c>
    </row>
    <row r="8">
      <c r="A8" s="28" t="inlineStr">
        <is>
          <t>SAM: молодёжь 14–22 с банковской картой</t>
        </is>
      </c>
      <c r="B8" s="28" t="inlineStr">
        <is>
          <t>тыс. чел.</t>
        </is>
      </c>
      <c r="C8" s="29">
        <f>C5*'Допущения'!$C$10+C6*'Допущения'!$C$11</f>
        <v/>
      </c>
    </row>
    <row r="9">
      <c r="A9" s="28" t="inlineStr">
        <is>
          <t>SOM: клиенты ВТБ 14–22</t>
        </is>
      </c>
      <c r="B9" s="28" t="inlineStr">
        <is>
          <t>тыс. чел.</t>
        </is>
      </c>
      <c r="C9" s="30">
        <f>C5*'Допущения'!$C$10*'Допущения'!$C$12+C6*'Допущения'!$C$11*'Допущения'!$C$13</f>
        <v/>
      </c>
    </row>
    <row r="10">
      <c r="A10" s="28" t="inlineStr">
        <is>
          <t>Проверка: клиенты ВТБ 14–25 по модели (факт ВТБ — на листе «Допущения»)</t>
        </is>
      </c>
      <c r="B10" s="28" t="inlineStr">
        <is>
          <t>тыс. чел.</t>
        </is>
      </c>
      <c r="C10" s="29">
        <f>C9+'Допущения'!$C$16*'Допущения'!$C$9*'Допущения'!$C$11*'Допущения'!$C$13</f>
        <v/>
      </c>
    </row>
    <row r="11">
      <c r="A11" s="28" t="inlineStr">
        <is>
          <t>Дропов 14–22 лет в РФ в год</t>
        </is>
      </c>
      <c r="B11" s="28" t="inlineStr">
        <is>
          <t>тыс. чел.</t>
        </is>
      </c>
      <c r="C11" s="29">
        <f>'Допущения'!$C$14*12*'Допущения'!$C$15/1000</f>
        <v/>
      </c>
    </row>
    <row r="12">
      <c r="A12" s="28" t="inlineStr">
        <is>
          <t>Вероятность стать дропом за год для молодого клиента с картой</t>
        </is>
      </c>
      <c r="B12" s="28" t="inlineStr">
        <is>
          <t>доля</t>
        </is>
      </c>
      <c r="C12" s="31">
        <f>IF(C8&gt;0,C11/C8,0)</f>
        <v/>
      </c>
    </row>
    <row r="13">
      <c r="A13" s="28" t="inlineStr">
        <is>
          <t>Дроп-кейсов среди клиентов ВТБ 14–22 в год (без продукта)</t>
        </is>
      </c>
      <c r="B13" s="28" t="inlineStr">
        <is>
          <t>шт.</t>
        </is>
      </c>
      <c r="C13" s="29">
        <f>C9*1000*C12</f>
        <v/>
      </c>
    </row>
    <row r="14">
      <c r="A14" s="28" t="inlineStr">
        <is>
          <t>Маржинальный доход на молодого клиента</t>
        </is>
      </c>
      <c r="B14" s="28" t="inlineStr">
        <is>
          <t>₽/год</t>
        </is>
      </c>
      <c r="C14" s="29">
        <f>'Допущения'!$C$20*12*'Допущения'!$C$21+'Допущения'!$C$22*'Допущения'!$C$23-'Допущения'!$C$24</f>
        <v/>
      </c>
    </row>
    <row r="15">
      <c r="A15" s="28" t="inlineStr">
        <is>
          <t>Затраты банка на один дроп-кейс</t>
        </is>
      </c>
      <c r="B15" s="28" t="inlineStr">
        <is>
          <t>₽</t>
        </is>
      </c>
      <c r="C15" s="29">
        <f>'Допущения'!$C$28*'Допущения'!$C$29+'Допущения'!$C$30*'Допущения'!$C$31+'Допущения'!$C$32*'Допущения'!$C$33+'Допущения'!$C$34</f>
        <v/>
      </c>
    </row>
    <row r="16">
      <c r="A16" s="28" t="inlineStr">
        <is>
          <t>Квартальная ставка дисконтирования</t>
        </is>
      </c>
      <c r="B16" s="28" t="inlineStr">
        <is>
          <t>доля</t>
        </is>
      </c>
      <c r="C16" s="31">
        <f>(1+'Допущения'!$C$81)^(1/4)-1</f>
        <v/>
      </c>
    </row>
    <row r="17">
      <c r="A17" s="28" t="inlineStr">
        <is>
          <t>Полная стоимость сотрудника к зарплате (взносы + накладные)</t>
        </is>
      </c>
      <c r="B17" s="28" t="inlineStr">
        <is>
          <t>x</t>
        </is>
      </c>
      <c r="C17" s="32">
        <f>(1+'Допущения'!$C$76)*(1+'Допущения'!$C$77)</f>
        <v/>
      </c>
    </row>
    <row r="18">
      <c r="A18" s="28" t="inlineStr">
        <is>
          <t>Этап 2: дроп-кейсов среди клиентов ВТБ 23+ в год (без продукта)</t>
        </is>
      </c>
      <c r="B18" s="28" t="inlineStr">
        <is>
          <t>шт.</t>
        </is>
      </c>
      <c r="C18" s="29">
        <f>'Допущения'!$C$14*12*'Допущения'!$C$50*'Допущения'!$C$51</f>
        <v/>
      </c>
    </row>
    <row r="19">
      <c r="A19" s="28" t="inlineStr">
        <is>
          <t>Ценность будущего взрослого клиента на сегодня (на одного молодого клиента)</t>
        </is>
      </c>
      <c r="B19" s="28" t="inlineStr">
        <is>
          <t>₽</t>
        </is>
      </c>
      <c r="C19" s="29">
        <f>'Допущения'!$C$57*'Допущения'!$C$53*(1-(1+'Допущения'!$C$81)^(-'Допущения'!$C$59))/'Допущения'!$C$81/(1+'Допущения'!$C$81)^'Допущения'!$C$58</f>
        <v/>
      </c>
    </row>
    <row r="20">
      <c r="A20" s="28" t="inlineStr">
        <is>
          <t>Мост: дополнительно остаются в ВТБ при переходе в 14 лет</t>
        </is>
      </c>
      <c r="B20" s="28" t="inlineStr">
        <is>
          <t>чел./год</t>
        </is>
      </c>
      <c r="C20" s="29">
        <f>'Допущения'!$C$63*'Допущения'!$C$64*'Допущения'!$C$65*'Допущения'!$C$62</f>
        <v/>
      </c>
    </row>
    <row r="21">
      <c r="A21" s="28" t="inlineStr">
        <is>
          <t>Пушкинская карта: новых клиентов через «Старт»</t>
        </is>
      </c>
      <c r="B21" s="28" t="inlineStr">
        <is>
          <t>чел./год</t>
        </is>
      </c>
      <c r="C21" s="29">
        <f>'Допущения'!$C$67*'Допущения'!$C$68*'Допущения'!$C$69*'Допущения'!$C$66</f>
        <v/>
      </c>
    </row>
    <row r="22"/>
    <row r="23">
      <c r="A23" s="3" t="inlineStr">
        <is>
          <t>Показатель</t>
        </is>
      </c>
      <c r="B23" s="3" t="inlineStr">
        <is>
          <t>Ед.</t>
        </is>
      </c>
      <c r="C23" s="33" t="inlineStr">
        <is>
          <t>Q1 2027</t>
        </is>
      </c>
      <c r="D23" s="33" t="inlineStr">
        <is>
          <t>Q2 2027</t>
        </is>
      </c>
      <c r="E23" s="33" t="inlineStr">
        <is>
          <t>Q3 2027</t>
        </is>
      </c>
      <c r="F23" s="33" t="inlineStr">
        <is>
          <t>Q4 2027</t>
        </is>
      </c>
      <c r="G23" s="33" t="inlineStr">
        <is>
          <t>Q1 2028</t>
        </is>
      </c>
      <c r="H23" s="33" t="inlineStr">
        <is>
          <t>Q2 2028</t>
        </is>
      </c>
      <c r="I23" s="33" t="inlineStr">
        <is>
          <t>Q3 2028</t>
        </is>
      </c>
      <c r="J23" s="33" t="inlineStr">
        <is>
          <t>Q4 2028</t>
        </is>
      </c>
      <c r="K23" s="33" t="inlineStr">
        <is>
          <t>Q1 2029</t>
        </is>
      </c>
      <c r="L23" s="33" t="inlineStr">
        <is>
          <t>Q2 2029</t>
        </is>
      </c>
      <c r="M23" s="33" t="inlineStr">
        <is>
          <t>Q3 2029</t>
        </is>
      </c>
      <c r="N23" s="33" t="inlineStr">
        <is>
          <t>Q4 2029</t>
        </is>
      </c>
      <c r="O23" s="33" t="inlineStr">
        <is>
          <t>Q1 2030</t>
        </is>
      </c>
      <c r="P23" s="33" t="inlineStr">
        <is>
          <t>Q2 2030</t>
        </is>
      </c>
      <c r="Q23" s="33" t="inlineStr">
        <is>
          <t>Q3 2030</t>
        </is>
      </c>
      <c r="R23" s="33" t="inlineStr">
        <is>
          <t>Q4 2030</t>
        </is>
      </c>
      <c r="S23" s="33" t="inlineStr">
        <is>
          <t>Q1 2031</t>
        </is>
      </c>
      <c r="T23" s="33" t="inlineStr">
        <is>
          <t>Q2 2031</t>
        </is>
      </c>
      <c r="U23" s="33" t="inlineStr">
        <is>
          <t>Q3 2031</t>
        </is>
      </c>
      <c r="V23" s="33" t="inlineStr">
        <is>
          <t>Q4 2031</t>
        </is>
      </c>
      <c r="W23" s="3" t="n"/>
      <c r="X23" s="33" t="inlineStr">
        <is>
          <t>2027</t>
        </is>
      </c>
      <c r="Y23" s="33" t="inlineStr">
        <is>
          <t>2028</t>
        </is>
      </c>
      <c r="Z23" s="33" t="inlineStr">
        <is>
          <t>2029</t>
        </is>
      </c>
      <c r="AA23" s="33" t="inlineStr">
        <is>
          <t>2030</t>
        </is>
      </c>
      <c r="AB23" s="33" t="inlineStr">
        <is>
          <t>2031</t>
        </is>
      </c>
      <c r="AC23" s="33" t="inlineStr">
        <is>
          <t>Итого</t>
        </is>
      </c>
    </row>
    <row r="24">
      <c r="A24" s="28" t="inlineStr">
        <is>
          <t>Номер квартала</t>
        </is>
      </c>
      <c r="B24" s="28" t="inlineStr">
        <is>
          <t>№</t>
        </is>
      </c>
      <c r="C24" s="34">
        <f>1</f>
        <v/>
      </c>
      <c r="D24" s="34">
        <f>C24+1</f>
        <v/>
      </c>
      <c r="E24" s="34">
        <f>D24+1</f>
        <v/>
      </c>
      <c r="F24" s="34">
        <f>E24+1</f>
        <v/>
      </c>
      <c r="G24" s="34">
        <f>F24+1</f>
        <v/>
      </c>
      <c r="H24" s="34">
        <f>G24+1</f>
        <v/>
      </c>
      <c r="I24" s="34">
        <f>H24+1</f>
        <v/>
      </c>
      <c r="J24" s="34">
        <f>I24+1</f>
        <v/>
      </c>
      <c r="K24" s="34">
        <f>J24+1</f>
        <v/>
      </c>
      <c r="L24" s="34">
        <f>K24+1</f>
        <v/>
      </c>
      <c r="M24" s="34">
        <f>L24+1</f>
        <v/>
      </c>
      <c r="N24" s="34">
        <f>M24+1</f>
        <v/>
      </c>
      <c r="O24" s="34">
        <f>N24+1</f>
        <v/>
      </c>
      <c r="P24" s="34">
        <f>O24+1</f>
        <v/>
      </c>
      <c r="Q24" s="34">
        <f>P24+1</f>
        <v/>
      </c>
      <c r="R24" s="34">
        <f>Q24+1</f>
        <v/>
      </c>
      <c r="S24" s="34">
        <f>R24+1</f>
        <v/>
      </c>
      <c r="T24" s="34">
        <f>S24+1</f>
        <v/>
      </c>
      <c r="U24" s="34">
        <f>T24+1</f>
        <v/>
      </c>
      <c r="V24" s="34">
        <f>U24+1</f>
        <v/>
      </c>
    </row>
    <row r="25">
      <c r="A25" s="28" t="inlineStr">
        <is>
          <t>Флаг: разработка и пилот (полная команда)</t>
        </is>
      </c>
      <c r="B25" s="28" t="inlineStr">
        <is>
          <t>0/1</t>
        </is>
      </c>
      <c r="C25" s="34">
        <f>IF(C24&lt;='Допущения'!$C$74,1,0)</f>
        <v/>
      </c>
      <c r="D25" s="34">
        <f>IF(D24&lt;='Допущения'!$C$74,1,0)</f>
        <v/>
      </c>
      <c r="E25" s="34">
        <f>IF(E24&lt;='Допущения'!$C$74,1,0)</f>
        <v/>
      </c>
      <c r="F25" s="34">
        <f>IF(F24&lt;='Допущения'!$C$74,1,0)</f>
        <v/>
      </c>
      <c r="G25" s="34">
        <f>IF(G24&lt;='Допущения'!$C$74,1,0)</f>
        <v/>
      </c>
      <c r="H25" s="34">
        <f>IF(H24&lt;='Допущения'!$C$74,1,0)</f>
        <v/>
      </c>
      <c r="I25" s="34">
        <f>IF(I24&lt;='Допущения'!$C$74,1,0)</f>
        <v/>
      </c>
      <c r="J25" s="34">
        <f>IF(J24&lt;='Допущения'!$C$74,1,0)</f>
        <v/>
      </c>
      <c r="K25" s="34">
        <f>IF(K24&lt;='Допущения'!$C$74,1,0)</f>
        <v/>
      </c>
      <c r="L25" s="34">
        <f>IF(L24&lt;='Допущения'!$C$74,1,0)</f>
        <v/>
      </c>
      <c r="M25" s="34">
        <f>IF(M24&lt;='Допущения'!$C$74,1,0)</f>
        <v/>
      </c>
      <c r="N25" s="34">
        <f>IF(N24&lt;='Допущения'!$C$74,1,0)</f>
        <v/>
      </c>
      <c r="O25" s="34">
        <f>IF(O24&lt;='Допущения'!$C$74,1,0)</f>
        <v/>
      </c>
      <c r="P25" s="34">
        <f>IF(P24&lt;='Допущения'!$C$74,1,0)</f>
        <v/>
      </c>
      <c r="Q25" s="34">
        <f>IF(Q24&lt;='Допущения'!$C$74,1,0)</f>
        <v/>
      </c>
      <c r="R25" s="34">
        <f>IF(R24&lt;='Допущения'!$C$74,1,0)</f>
        <v/>
      </c>
      <c r="S25" s="34">
        <f>IF(S24&lt;='Допущения'!$C$74,1,0)</f>
        <v/>
      </c>
      <c r="T25" s="34">
        <f>IF(T24&lt;='Допущения'!$C$74,1,0)</f>
        <v/>
      </c>
      <c r="U25" s="34">
        <f>IF(U24&lt;='Допущения'!$C$74,1,0)</f>
        <v/>
      </c>
      <c r="V25" s="34">
        <f>IF(V24&lt;='Допущения'!$C$74,1,0)</f>
        <v/>
      </c>
    </row>
    <row r="26">
      <c r="A26" s="28" t="inlineStr">
        <is>
          <t>Флаг: продукт запущен для всех</t>
        </is>
      </c>
      <c r="B26" s="28" t="inlineStr">
        <is>
          <t>0/1</t>
        </is>
      </c>
      <c r="C26" s="34">
        <f>IF(C24&gt;='Допущения'!$C$75,1,0)</f>
        <v/>
      </c>
      <c r="D26" s="34">
        <f>IF(D24&gt;='Допущения'!$C$75,1,0)</f>
        <v/>
      </c>
      <c r="E26" s="34">
        <f>IF(E24&gt;='Допущения'!$C$75,1,0)</f>
        <v/>
      </c>
      <c r="F26" s="34">
        <f>IF(F24&gt;='Допущения'!$C$75,1,0)</f>
        <v/>
      </c>
      <c r="G26" s="34">
        <f>IF(G24&gt;='Допущения'!$C$75,1,0)</f>
        <v/>
      </c>
      <c r="H26" s="34">
        <f>IF(H24&gt;='Допущения'!$C$75,1,0)</f>
        <v/>
      </c>
      <c r="I26" s="34">
        <f>IF(I24&gt;='Допущения'!$C$75,1,0)</f>
        <v/>
      </c>
      <c r="J26" s="34">
        <f>IF(J24&gt;='Допущения'!$C$75,1,0)</f>
        <v/>
      </c>
      <c r="K26" s="34">
        <f>IF(K24&gt;='Допущения'!$C$75,1,0)</f>
        <v/>
      </c>
      <c r="L26" s="34">
        <f>IF(L24&gt;='Допущения'!$C$75,1,0)</f>
        <v/>
      </c>
      <c r="M26" s="34">
        <f>IF(M24&gt;='Допущения'!$C$75,1,0)</f>
        <v/>
      </c>
      <c r="N26" s="34">
        <f>IF(N24&gt;='Допущения'!$C$75,1,0)</f>
        <v/>
      </c>
      <c r="O26" s="34">
        <f>IF(O24&gt;='Допущения'!$C$75,1,0)</f>
        <v/>
      </c>
      <c r="P26" s="34">
        <f>IF(P24&gt;='Допущения'!$C$75,1,0)</f>
        <v/>
      </c>
      <c r="Q26" s="34">
        <f>IF(Q24&gt;='Допущения'!$C$75,1,0)</f>
        <v/>
      </c>
      <c r="R26" s="34">
        <f>IF(R24&gt;='Допущения'!$C$75,1,0)</f>
        <v/>
      </c>
      <c r="S26" s="34">
        <f>IF(S24&gt;='Допущения'!$C$75,1,0)</f>
        <v/>
      </c>
      <c r="T26" s="34">
        <f>IF(T24&gt;='Допущения'!$C$75,1,0)</f>
        <v/>
      </c>
      <c r="U26" s="34">
        <f>IF(U24&gt;='Допущения'!$C$75,1,0)</f>
        <v/>
      </c>
      <c r="V26" s="34">
        <f>IF(V24&gt;='Допущения'!$C$75,1,0)</f>
        <v/>
      </c>
    </row>
    <row r="27">
      <c r="A27" s="28" t="inlineStr">
        <is>
          <t>Покрытие перехватом (доля молодых клиентов)</t>
        </is>
      </c>
      <c r="B27" s="28" t="inlineStr">
        <is>
          <t>доля</t>
        </is>
      </c>
      <c r="C27" s="35">
        <f>'Допущения'!C$100</f>
        <v/>
      </c>
      <c r="D27" s="35">
        <f>'Допущения'!D$100</f>
        <v/>
      </c>
      <c r="E27" s="35">
        <f>'Допущения'!E$100</f>
        <v/>
      </c>
      <c r="F27" s="35">
        <f>'Допущения'!F$100</f>
        <v/>
      </c>
      <c r="G27" s="35">
        <f>'Допущения'!G$100</f>
        <v/>
      </c>
      <c r="H27" s="35">
        <f>'Допущения'!H$100</f>
        <v/>
      </c>
      <c r="I27" s="35">
        <f>'Допущения'!I$100</f>
        <v/>
      </c>
      <c r="J27" s="35">
        <f>'Допущения'!J$100</f>
        <v/>
      </c>
      <c r="K27" s="35">
        <f>'Допущения'!K$100</f>
        <v/>
      </c>
      <c r="L27" s="35">
        <f>'Допущения'!L$100</f>
        <v/>
      </c>
      <c r="M27" s="35">
        <f>'Допущения'!M$100</f>
        <v/>
      </c>
      <c r="N27" s="35">
        <f>'Допущения'!N$100</f>
        <v/>
      </c>
      <c r="O27" s="35">
        <f>'Допущения'!O$100</f>
        <v/>
      </c>
      <c r="P27" s="35">
        <f>'Допущения'!P$100</f>
        <v/>
      </c>
      <c r="Q27" s="35">
        <f>'Допущения'!Q$100</f>
        <v/>
      </c>
      <c r="R27" s="35">
        <f>'Допущения'!R$100</f>
        <v/>
      </c>
      <c r="S27" s="35">
        <f>'Допущения'!S$100</f>
        <v/>
      </c>
      <c r="T27" s="35">
        <f>'Допущения'!T$100</f>
        <v/>
      </c>
      <c r="U27" s="35">
        <f>'Допущения'!U$100</f>
        <v/>
      </c>
      <c r="V27" s="35">
        <f>'Допущения'!V$100</f>
        <v/>
      </c>
      <c r="X27" s="35">
        <f>F27</f>
        <v/>
      </c>
      <c r="Y27" s="35">
        <f>J27</f>
        <v/>
      </c>
      <c r="Z27" s="35">
        <f>N27</f>
        <v/>
      </c>
      <c r="AA27" s="35">
        <f>R27</f>
        <v/>
      </c>
      <c r="AB27" s="35">
        <f>V27</f>
        <v/>
      </c>
      <c r="AC27" s="36">
        <f>V27</f>
        <v/>
      </c>
    </row>
    <row r="28">
      <c r="A28" s="28" t="inlineStr">
        <is>
          <t>Флаг: этап 2 (перехват для клиентов 23+)</t>
        </is>
      </c>
      <c r="B28" s="28" t="inlineStr">
        <is>
          <t>0/1</t>
        </is>
      </c>
      <c r="C28" s="34">
        <f>IF(C24&gt;='Допущения'!$C$49,1,0)*'Допущения'!$C$48</f>
        <v/>
      </c>
      <c r="D28" s="34">
        <f>IF(D24&gt;='Допущения'!$C$49,1,0)*'Допущения'!$C$48</f>
        <v/>
      </c>
      <c r="E28" s="34">
        <f>IF(E24&gt;='Допущения'!$C$49,1,0)*'Допущения'!$C$48</f>
        <v/>
      </c>
      <c r="F28" s="34">
        <f>IF(F24&gt;='Допущения'!$C$49,1,0)*'Допущения'!$C$48</f>
        <v/>
      </c>
      <c r="G28" s="34">
        <f>IF(G24&gt;='Допущения'!$C$49,1,0)*'Допущения'!$C$48</f>
        <v/>
      </c>
      <c r="H28" s="34">
        <f>IF(H24&gt;='Допущения'!$C$49,1,0)*'Допущения'!$C$48</f>
        <v/>
      </c>
      <c r="I28" s="34">
        <f>IF(I24&gt;='Допущения'!$C$49,1,0)*'Допущения'!$C$48</f>
        <v/>
      </c>
      <c r="J28" s="34">
        <f>IF(J24&gt;='Допущения'!$C$49,1,0)*'Допущения'!$C$48</f>
        <v/>
      </c>
      <c r="K28" s="34">
        <f>IF(K24&gt;='Допущения'!$C$49,1,0)*'Допущения'!$C$48</f>
        <v/>
      </c>
      <c r="L28" s="34">
        <f>IF(L24&gt;='Допущения'!$C$49,1,0)*'Допущения'!$C$48</f>
        <v/>
      </c>
      <c r="M28" s="34">
        <f>IF(M24&gt;='Допущения'!$C$49,1,0)*'Допущения'!$C$48</f>
        <v/>
      </c>
      <c r="N28" s="34">
        <f>IF(N24&gt;='Допущения'!$C$49,1,0)*'Допущения'!$C$48</f>
        <v/>
      </c>
      <c r="O28" s="34">
        <f>IF(O24&gt;='Допущения'!$C$49,1,0)*'Допущения'!$C$48</f>
        <v/>
      </c>
      <c r="P28" s="34">
        <f>IF(P24&gt;='Допущения'!$C$49,1,0)*'Допущения'!$C$48</f>
        <v/>
      </c>
      <c r="Q28" s="34">
        <f>IF(Q24&gt;='Допущения'!$C$49,1,0)*'Допущения'!$C$48</f>
        <v/>
      </c>
      <c r="R28" s="34">
        <f>IF(R24&gt;='Допущения'!$C$49,1,0)*'Допущения'!$C$48</f>
        <v/>
      </c>
      <c r="S28" s="34">
        <f>IF(S24&gt;='Допущения'!$C$49,1,0)*'Допущения'!$C$48</f>
        <v/>
      </c>
      <c r="T28" s="34">
        <f>IF(T24&gt;='Допущения'!$C$49,1,0)*'Допущения'!$C$48</f>
        <v/>
      </c>
      <c r="U28" s="34">
        <f>IF(U24&gt;='Допущения'!$C$49,1,0)*'Допущения'!$C$48</f>
        <v/>
      </c>
      <c r="V28" s="34">
        <f>IF(V24&gt;='Допущения'!$C$49,1,0)*'Допущения'!$C$48</f>
        <v/>
      </c>
    </row>
    <row r="29">
      <c r="A29" s="4" t="inlineStr">
        <is>
          <t>Охват раздела «Старт»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28" t="inlineStr">
        <is>
          <t>Доля молодых клиентов ВТБ — MAU раздела</t>
        </is>
      </c>
      <c r="B30" s="28" t="inlineStr">
        <is>
          <t>доля</t>
        </is>
      </c>
      <c r="C30" s="35">
        <f>MIN('Допущения'!$C$73,'Допущения'!C$99*'Допущения'!$C$72)</f>
        <v/>
      </c>
      <c r="D30" s="35">
        <f>MIN('Допущения'!$C$73,'Допущения'!D$99*'Допущения'!$C$72)</f>
        <v/>
      </c>
      <c r="E30" s="35">
        <f>MIN('Допущения'!$C$73,'Допущения'!E$99*'Допущения'!$C$72)</f>
        <v/>
      </c>
      <c r="F30" s="35">
        <f>MIN('Допущения'!$C$73,'Допущения'!F$99*'Допущения'!$C$72)</f>
        <v/>
      </c>
      <c r="G30" s="35">
        <f>MIN('Допущения'!$C$73,'Допущения'!G$99*'Допущения'!$C$72)</f>
        <v/>
      </c>
      <c r="H30" s="35">
        <f>MIN('Допущения'!$C$73,'Допущения'!H$99*'Допущения'!$C$72)</f>
        <v/>
      </c>
      <c r="I30" s="35">
        <f>MIN('Допущения'!$C$73,'Допущения'!I$99*'Допущения'!$C$72)</f>
        <v/>
      </c>
      <c r="J30" s="35">
        <f>MIN('Допущения'!$C$73,'Допущения'!J$99*'Допущения'!$C$72)</f>
        <v/>
      </c>
      <c r="K30" s="35">
        <f>MIN('Допущения'!$C$73,'Допущения'!K$99*'Допущения'!$C$72)</f>
        <v/>
      </c>
      <c r="L30" s="35">
        <f>MIN('Допущения'!$C$73,'Допущения'!L$99*'Допущения'!$C$72)</f>
        <v/>
      </c>
      <c r="M30" s="35">
        <f>MIN('Допущения'!$C$73,'Допущения'!M$99*'Допущения'!$C$72)</f>
        <v/>
      </c>
      <c r="N30" s="35">
        <f>MIN('Допущения'!$C$73,'Допущения'!N$99*'Допущения'!$C$72)</f>
        <v/>
      </c>
      <c r="O30" s="35">
        <f>MIN('Допущения'!$C$73,'Допущения'!O$99*'Допущения'!$C$72)</f>
        <v/>
      </c>
      <c r="P30" s="35">
        <f>MIN('Допущения'!$C$73,'Допущения'!P$99*'Допущения'!$C$72)</f>
        <v/>
      </c>
      <c r="Q30" s="35">
        <f>MIN('Допущения'!$C$73,'Допущения'!Q$99*'Допущения'!$C$72)</f>
        <v/>
      </c>
      <c r="R30" s="35">
        <f>MIN('Допущения'!$C$73,'Допущения'!R$99*'Допущения'!$C$72)</f>
        <v/>
      </c>
      <c r="S30" s="35">
        <f>MIN('Допущения'!$C$73,'Допущения'!S$99*'Допущения'!$C$72)</f>
        <v/>
      </c>
      <c r="T30" s="35">
        <f>MIN('Допущения'!$C$73,'Допущения'!T$99*'Допущения'!$C$72)</f>
        <v/>
      </c>
      <c r="U30" s="35">
        <f>MIN('Допущения'!$C$73,'Допущения'!U$99*'Допущения'!$C$72)</f>
        <v/>
      </c>
      <c r="V30" s="35">
        <f>MIN('Допущения'!$C$73,'Допущения'!V$99*'Допущения'!$C$72)</f>
        <v/>
      </c>
      <c r="X30" s="35">
        <f>F30</f>
        <v/>
      </c>
      <c r="Y30" s="35">
        <f>J30</f>
        <v/>
      </c>
      <c r="Z30" s="35">
        <f>N30</f>
        <v/>
      </c>
      <c r="AA30" s="35">
        <f>R30</f>
        <v/>
      </c>
      <c r="AB30" s="35">
        <f>V30</f>
        <v/>
      </c>
      <c r="AC30" s="36">
        <f>V30</f>
        <v/>
      </c>
    </row>
    <row r="31">
      <c r="A31" s="28" t="inlineStr">
        <is>
          <t>MAU раздела «Старт»</t>
        </is>
      </c>
      <c r="B31" s="28" t="inlineStr">
        <is>
          <t>тыс. чел.</t>
        </is>
      </c>
      <c r="C31" s="29">
        <f>$C$9*C30</f>
        <v/>
      </c>
      <c r="D31" s="29">
        <f>$C$9*D30</f>
        <v/>
      </c>
      <c r="E31" s="29">
        <f>$C$9*E30</f>
        <v/>
      </c>
      <c r="F31" s="29">
        <f>$C$9*F30</f>
        <v/>
      </c>
      <c r="G31" s="29">
        <f>$C$9*G30</f>
        <v/>
      </c>
      <c r="H31" s="29">
        <f>$C$9*H30</f>
        <v/>
      </c>
      <c r="I31" s="29">
        <f>$C$9*I30</f>
        <v/>
      </c>
      <c r="J31" s="29">
        <f>$C$9*J30</f>
        <v/>
      </c>
      <c r="K31" s="29">
        <f>$C$9*K30</f>
        <v/>
      </c>
      <c r="L31" s="29">
        <f>$C$9*L30</f>
        <v/>
      </c>
      <c r="M31" s="29">
        <f>$C$9*M30</f>
        <v/>
      </c>
      <c r="N31" s="29">
        <f>$C$9*N30</f>
        <v/>
      </c>
      <c r="O31" s="29">
        <f>$C$9*O30</f>
        <v/>
      </c>
      <c r="P31" s="29">
        <f>$C$9*P30</f>
        <v/>
      </c>
      <c r="Q31" s="29">
        <f>$C$9*Q30</f>
        <v/>
      </c>
      <c r="R31" s="29">
        <f>$C$9*R30</f>
        <v/>
      </c>
      <c r="S31" s="29">
        <f>$C$9*S30</f>
        <v/>
      </c>
      <c r="T31" s="29">
        <f>$C$9*T30</f>
        <v/>
      </c>
      <c r="U31" s="29">
        <f>$C$9*U30</f>
        <v/>
      </c>
      <c r="V31" s="29">
        <f>$C$9*V30</f>
        <v/>
      </c>
      <c r="X31" s="29">
        <f>F31</f>
        <v/>
      </c>
      <c r="Y31" s="29">
        <f>J31</f>
        <v/>
      </c>
      <c r="Z31" s="29">
        <f>N31</f>
        <v/>
      </c>
      <c r="AA31" s="29">
        <f>R31</f>
        <v/>
      </c>
      <c r="AB31" s="29">
        <f>V31</f>
        <v/>
      </c>
      <c r="AC31" s="37">
        <f>V31</f>
        <v/>
      </c>
    </row>
    <row r="32">
      <c r="A32" s="4" t="inlineStr">
        <is>
          <t>Эффект для банка — молодёжь 14–22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28" t="inlineStr">
        <is>
          <t>Предотвращённые дроп-кейсы (перехват у всех + уроки у MAU)</t>
        </is>
      </c>
      <c r="B33" s="28" t="inlineStr">
        <is>
          <t>шт.</t>
        </is>
      </c>
      <c r="C33" s="29">
        <f>$C$9*1000*$C$12/4*(C27*'Допущения'!$C$39+C30*'Допущения'!$C$40)</f>
        <v/>
      </c>
      <c r="D33" s="29">
        <f>$C$9*1000*$C$12/4*(D27*'Допущения'!$C$39+D30*'Допущения'!$C$40)</f>
        <v/>
      </c>
      <c r="E33" s="29">
        <f>$C$9*1000*$C$12/4*(E27*'Допущения'!$C$39+E30*'Допущения'!$C$40)</f>
        <v/>
      </c>
      <c r="F33" s="29">
        <f>$C$9*1000*$C$12/4*(F27*'Допущения'!$C$39+F30*'Допущения'!$C$40)</f>
        <v/>
      </c>
      <c r="G33" s="29">
        <f>$C$9*1000*$C$12/4*(G27*'Допущения'!$C$39+G30*'Допущения'!$C$40)</f>
        <v/>
      </c>
      <c r="H33" s="29">
        <f>$C$9*1000*$C$12/4*(H27*'Допущения'!$C$39+H30*'Допущения'!$C$40)</f>
        <v/>
      </c>
      <c r="I33" s="29">
        <f>$C$9*1000*$C$12/4*(I27*'Допущения'!$C$39+I30*'Допущения'!$C$40)</f>
        <v/>
      </c>
      <c r="J33" s="29">
        <f>$C$9*1000*$C$12/4*(J27*'Допущения'!$C$39+J30*'Допущения'!$C$40)</f>
        <v/>
      </c>
      <c r="K33" s="29">
        <f>$C$9*1000*$C$12/4*(K27*'Допущения'!$C$39+K30*'Допущения'!$C$40)</f>
        <v/>
      </c>
      <c r="L33" s="29">
        <f>$C$9*1000*$C$12/4*(L27*'Допущения'!$C$39+L30*'Допущения'!$C$40)</f>
        <v/>
      </c>
      <c r="M33" s="29">
        <f>$C$9*1000*$C$12/4*(M27*'Допущения'!$C$39+M30*'Допущения'!$C$40)</f>
        <v/>
      </c>
      <c r="N33" s="29">
        <f>$C$9*1000*$C$12/4*(N27*'Допущения'!$C$39+N30*'Допущения'!$C$40)</f>
        <v/>
      </c>
      <c r="O33" s="29">
        <f>$C$9*1000*$C$12/4*(O27*'Допущения'!$C$39+O30*'Допущения'!$C$40)</f>
        <v/>
      </c>
      <c r="P33" s="29">
        <f>$C$9*1000*$C$12/4*(P27*'Допущения'!$C$39+P30*'Допущения'!$C$40)</f>
        <v/>
      </c>
      <c r="Q33" s="29">
        <f>$C$9*1000*$C$12/4*(Q27*'Допущения'!$C$39+Q30*'Допущения'!$C$40)</f>
        <v/>
      </c>
      <c r="R33" s="29">
        <f>$C$9*1000*$C$12/4*(R27*'Допущения'!$C$39+R30*'Допущения'!$C$40)</f>
        <v/>
      </c>
      <c r="S33" s="29">
        <f>$C$9*1000*$C$12/4*(S27*'Допущения'!$C$39+S30*'Допущения'!$C$40)</f>
        <v/>
      </c>
      <c r="T33" s="29">
        <f>$C$9*1000*$C$12/4*(T27*'Допущения'!$C$39+T30*'Допущения'!$C$40)</f>
        <v/>
      </c>
      <c r="U33" s="29">
        <f>$C$9*1000*$C$12/4*(U27*'Допущения'!$C$39+U30*'Допущения'!$C$40)</f>
        <v/>
      </c>
      <c r="V33" s="29">
        <f>$C$9*1000*$C$12/4*(V27*'Допущения'!$C$39+V30*'Допущения'!$C$40)</f>
        <v/>
      </c>
      <c r="X33" s="29">
        <f>SUM(C33:F33)</f>
        <v/>
      </c>
      <c r="Y33" s="29">
        <f>SUM(G33:J33)</f>
        <v/>
      </c>
      <c r="Z33" s="29">
        <f>SUM(K33:N33)</f>
        <v/>
      </c>
      <c r="AA33" s="29">
        <f>SUM(O33:R33)</f>
        <v/>
      </c>
      <c r="AB33" s="29">
        <f>SUM(S33:V33)</f>
        <v/>
      </c>
      <c r="AC33" s="37">
        <f>SUM(C33:V33)</f>
        <v/>
      </c>
    </row>
    <row r="34">
      <c r="A34" s="28" t="inlineStr">
        <is>
          <t>1. Экономия на разборе дроп-кейсов</t>
        </is>
      </c>
      <c r="B34" s="28" t="inlineStr">
        <is>
          <t>млн ₽</t>
        </is>
      </c>
      <c r="C34" s="38">
        <f>C33*$C$15/1000000</f>
        <v/>
      </c>
      <c r="D34" s="38">
        <f>D33*$C$15/1000000</f>
        <v/>
      </c>
      <c r="E34" s="38">
        <f>E33*$C$15/1000000</f>
        <v/>
      </c>
      <c r="F34" s="38">
        <f>F33*$C$15/1000000</f>
        <v/>
      </c>
      <c r="G34" s="38">
        <f>G33*$C$15/1000000</f>
        <v/>
      </c>
      <c r="H34" s="38">
        <f>H33*$C$15/1000000</f>
        <v/>
      </c>
      <c r="I34" s="38">
        <f>I33*$C$15/1000000</f>
        <v/>
      </c>
      <c r="J34" s="38">
        <f>J33*$C$15/1000000</f>
        <v/>
      </c>
      <c r="K34" s="38">
        <f>K33*$C$15/1000000</f>
        <v/>
      </c>
      <c r="L34" s="38">
        <f>L33*$C$15/1000000</f>
        <v/>
      </c>
      <c r="M34" s="38">
        <f>M33*$C$15/1000000</f>
        <v/>
      </c>
      <c r="N34" s="38">
        <f>N33*$C$15/1000000</f>
        <v/>
      </c>
      <c r="O34" s="38">
        <f>O33*$C$15/1000000</f>
        <v/>
      </c>
      <c r="P34" s="38">
        <f>P33*$C$15/1000000</f>
        <v/>
      </c>
      <c r="Q34" s="38">
        <f>Q33*$C$15/1000000</f>
        <v/>
      </c>
      <c r="R34" s="38">
        <f>R33*$C$15/1000000</f>
        <v/>
      </c>
      <c r="S34" s="38">
        <f>S33*$C$15/1000000</f>
        <v/>
      </c>
      <c r="T34" s="38">
        <f>T33*$C$15/1000000</f>
        <v/>
      </c>
      <c r="U34" s="38">
        <f>U33*$C$15/1000000</f>
        <v/>
      </c>
      <c r="V34" s="38">
        <f>V33*$C$15/1000000</f>
        <v/>
      </c>
      <c r="X34" s="38">
        <f>SUM(C34:F34)</f>
        <v/>
      </c>
      <c r="Y34" s="38">
        <f>SUM(G34:J34)</f>
        <v/>
      </c>
      <c r="Z34" s="38">
        <f>SUM(K34:N34)</f>
        <v/>
      </c>
      <c r="AA34" s="38">
        <f>SUM(O34:R34)</f>
        <v/>
      </c>
      <c r="AB34" s="38">
        <f>SUM(S34:V34)</f>
        <v/>
      </c>
      <c r="AC34" s="39">
        <f>SUM(C34:V34)</f>
        <v/>
      </c>
    </row>
    <row r="35">
      <c r="A35" s="28" t="inlineStr">
        <is>
          <t>Сохранённые клиенты (не потеряны из-за дропа), накопительно</t>
        </is>
      </c>
      <c r="B35" s="28" t="inlineStr">
        <is>
          <t>чел.</t>
        </is>
      </c>
      <c r="C35" s="29">
        <f>C33*'Допущения'!$C$35</f>
        <v/>
      </c>
      <c r="D35" s="29">
        <f>C35*(1-'Допущения'!$C$25/4)+D33*'Допущения'!$C$35</f>
        <v/>
      </c>
      <c r="E35" s="29">
        <f>D35*(1-'Допущения'!$C$25/4)+E33*'Допущения'!$C$35</f>
        <v/>
      </c>
      <c r="F35" s="29">
        <f>E35*(1-'Допущения'!$C$25/4)+F33*'Допущения'!$C$35</f>
        <v/>
      </c>
      <c r="G35" s="29">
        <f>F35*(1-'Допущения'!$C$25/4)+G33*'Допущения'!$C$35</f>
        <v/>
      </c>
      <c r="H35" s="29">
        <f>G35*(1-'Допущения'!$C$25/4)+H33*'Допущения'!$C$35</f>
        <v/>
      </c>
      <c r="I35" s="29">
        <f>H35*(1-'Допущения'!$C$25/4)+I33*'Допущения'!$C$35</f>
        <v/>
      </c>
      <c r="J35" s="29">
        <f>I35*(1-'Допущения'!$C$25/4)+J33*'Допущения'!$C$35</f>
        <v/>
      </c>
      <c r="K35" s="29">
        <f>J35*(1-'Допущения'!$C$25/4)+K33*'Допущения'!$C$35</f>
        <v/>
      </c>
      <c r="L35" s="29">
        <f>K35*(1-'Допущения'!$C$25/4)+L33*'Допущения'!$C$35</f>
        <v/>
      </c>
      <c r="M35" s="29">
        <f>L35*(1-'Допущения'!$C$25/4)+M33*'Допущения'!$C$35</f>
        <v/>
      </c>
      <c r="N35" s="29">
        <f>M35*(1-'Допущения'!$C$25/4)+N33*'Допущения'!$C$35</f>
        <v/>
      </c>
      <c r="O35" s="29">
        <f>N35*(1-'Допущения'!$C$25/4)+O33*'Допущения'!$C$35</f>
        <v/>
      </c>
      <c r="P35" s="29">
        <f>O35*(1-'Допущения'!$C$25/4)+P33*'Допущения'!$C$35</f>
        <v/>
      </c>
      <c r="Q35" s="29">
        <f>P35*(1-'Допущения'!$C$25/4)+Q33*'Допущения'!$C$35</f>
        <v/>
      </c>
      <c r="R35" s="29">
        <f>Q35*(1-'Допущения'!$C$25/4)+R33*'Допущения'!$C$35</f>
        <v/>
      </c>
      <c r="S35" s="29">
        <f>R35*(1-'Допущения'!$C$25/4)+S33*'Допущения'!$C$35</f>
        <v/>
      </c>
      <c r="T35" s="29">
        <f>S35*(1-'Допущения'!$C$25/4)+T33*'Допущения'!$C$35</f>
        <v/>
      </c>
      <c r="U35" s="29">
        <f>T35*(1-'Допущения'!$C$25/4)+U33*'Допущения'!$C$35</f>
        <v/>
      </c>
      <c r="V35" s="29">
        <f>U35*(1-'Допущения'!$C$25/4)+V33*'Допущения'!$C$35</f>
        <v/>
      </c>
      <c r="X35" s="29">
        <f>F35</f>
        <v/>
      </c>
      <c r="Y35" s="29">
        <f>J35</f>
        <v/>
      </c>
      <c r="Z35" s="29">
        <f>N35</f>
        <v/>
      </c>
      <c r="AA35" s="29">
        <f>R35</f>
        <v/>
      </c>
      <c r="AB35" s="29">
        <f>V35</f>
        <v/>
      </c>
      <c r="AC35" s="37">
        <f>V35</f>
        <v/>
      </c>
    </row>
    <row r="36">
      <c r="A36" s="28" t="inlineStr">
        <is>
          <t>2. Доход от сохранённых клиентов</t>
        </is>
      </c>
      <c r="B36" s="28" t="inlineStr">
        <is>
          <t>млн ₽</t>
        </is>
      </c>
      <c r="C36" s="38">
        <f>C35*$C$14/4/1000000</f>
        <v/>
      </c>
      <c r="D36" s="38">
        <f>D35*$C$14/4/1000000</f>
        <v/>
      </c>
      <c r="E36" s="38">
        <f>E35*$C$14/4/1000000</f>
        <v/>
      </c>
      <c r="F36" s="38">
        <f>F35*$C$14/4/1000000</f>
        <v/>
      </c>
      <c r="G36" s="38">
        <f>G35*$C$14/4/1000000</f>
        <v/>
      </c>
      <c r="H36" s="38">
        <f>H35*$C$14/4/1000000</f>
        <v/>
      </c>
      <c r="I36" s="38">
        <f>I35*$C$14/4/1000000</f>
        <v/>
      </c>
      <c r="J36" s="38">
        <f>J35*$C$14/4/1000000</f>
        <v/>
      </c>
      <c r="K36" s="38">
        <f>K35*$C$14/4/1000000</f>
        <v/>
      </c>
      <c r="L36" s="38">
        <f>L35*$C$14/4/1000000</f>
        <v/>
      </c>
      <c r="M36" s="38">
        <f>M35*$C$14/4/1000000</f>
        <v/>
      </c>
      <c r="N36" s="38">
        <f>N35*$C$14/4/1000000</f>
        <v/>
      </c>
      <c r="O36" s="38">
        <f>O35*$C$14/4/1000000</f>
        <v/>
      </c>
      <c r="P36" s="38">
        <f>P35*$C$14/4/1000000</f>
        <v/>
      </c>
      <c r="Q36" s="38">
        <f>Q35*$C$14/4/1000000</f>
        <v/>
      </c>
      <c r="R36" s="38">
        <f>R35*$C$14/4/1000000</f>
        <v/>
      </c>
      <c r="S36" s="38">
        <f>S35*$C$14/4/1000000</f>
        <v/>
      </c>
      <c r="T36" s="38">
        <f>T35*$C$14/4/1000000</f>
        <v/>
      </c>
      <c r="U36" s="38">
        <f>U35*$C$14/4/1000000</f>
        <v/>
      </c>
      <c r="V36" s="38">
        <f>V35*$C$14/4/1000000</f>
        <v/>
      </c>
      <c r="X36" s="38">
        <f>SUM(C36:F36)</f>
        <v/>
      </c>
      <c r="Y36" s="38">
        <f>SUM(G36:J36)</f>
        <v/>
      </c>
      <c r="Z36" s="38">
        <f>SUM(K36:N36)</f>
        <v/>
      </c>
      <c r="AA36" s="38">
        <f>SUM(O36:R36)</f>
        <v/>
      </c>
      <c r="AB36" s="38">
        <f>SUM(S36:V36)</f>
        <v/>
      </c>
      <c r="AC36" s="39">
        <f>SUM(C36:V36)</f>
        <v/>
      </c>
    </row>
    <row r="37">
      <c r="A37" s="28" t="inlineStr">
        <is>
          <t>Дополнительно удержанные пользователи раздела, накопительно</t>
        </is>
      </c>
      <c r="B37" s="28" t="inlineStr">
        <is>
          <t>чел.</t>
        </is>
      </c>
      <c r="C37" s="29">
        <f>C31*1000*'Допущения'!$C$41/4</f>
        <v/>
      </c>
      <c r="D37" s="29">
        <f>C37*(1-'Допущения'!$C$25/4)+D31*1000*'Допущения'!$C$41/4</f>
        <v/>
      </c>
      <c r="E37" s="29">
        <f>D37*(1-'Допущения'!$C$25/4)+E31*1000*'Допущения'!$C$41/4</f>
        <v/>
      </c>
      <c r="F37" s="29">
        <f>E37*(1-'Допущения'!$C$25/4)+F31*1000*'Допущения'!$C$41/4</f>
        <v/>
      </c>
      <c r="G37" s="29">
        <f>F37*(1-'Допущения'!$C$25/4)+G31*1000*'Допущения'!$C$41/4</f>
        <v/>
      </c>
      <c r="H37" s="29">
        <f>G37*(1-'Допущения'!$C$25/4)+H31*1000*'Допущения'!$C$41/4</f>
        <v/>
      </c>
      <c r="I37" s="29">
        <f>H37*(1-'Допущения'!$C$25/4)+I31*1000*'Допущения'!$C$41/4</f>
        <v/>
      </c>
      <c r="J37" s="29">
        <f>I37*(1-'Допущения'!$C$25/4)+J31*1000*'Допущения'!$C$41/4</f>
        <v/>
      </c>
      <c r="K37" s="29">
        <f>J37*(1-'Допущения'!$C$25/4)+K31*1000*'Допущения'!$C$41/4</f>
        <v/>
      </c>
      <c r="L37" s="29">
        <f>K37*(1-'Допущения'!$C$25/4)+L31*1000*'Допущения'!$C$41/4</f>
        <v/>
      </c>
      <c r="M37" s="29">
        <f>L37*(1-'Допущения'!$C$25/4)+M31*1000*'Допущения'!$C$41/4</f>
        <v/>
      </c>
      <c r="N37" s="29">
        <f>M37*(1-'Допущения'!$C$25/4)+N31*1000*'Допущения'!$C$41/4</f>
        <v/>
      </c>
      <c r="O37" s="29">
        <f>N37*(1-'Допущения'!$C$25/4)+O31*1000*'Допущения'!$C$41/4</f>
        <v/>
      </c>
      <c r="P37" s="29">
        <f>O37*(1-'Допущения'!$C$25/4)+P31*1000*'Допущения'!$C$41/4</f>
        <v/>
      </c>
      <c r="Q37" s="29">
        <f>P37*(1-'Допущения'!$C$25/4)+Q31*1000*'Допущения'!$C$41/4</f>
        <v/>
      </c>
      <c r="R37" s="29">
        <f>Q37*(1-'Допущения'!$C$25/4)+R31*1000*'Допущения'!$C$41/4</f>
        <v/>
      </c>
      <c r="S37" s="29">
        <f>R37*(1-'Допущения'!$C$25/4)+S31*1000*'Допущения'!$C$41/4</f>
        <v/>
      </c>
      <c r="T37" s="29">
        <f>S37*(1-'Допущения'!$C$25/4)+T31*1000*'Допущения'!$C$41/4</f>
        <v/>
      </c>
      <c r="U37" s="29">
        <f>T37*(1-'Допущения'!$C$25/4)+U31*1000*'Допущения'!$C$41/4</f>
        <v/>
      </c>
      <c r="V37" s="29">
        <f>U37*(1-'Допущения'!$C$25/4)+V31*1000*'Допущения'!$C$41/4</f>
        <v/>
      </c>
      <c r="X37" s="29">
        <f>F37</f>
        <v/>
      </c>
      <c r="Y37" s="29">
        <f>J37</f>
        <v/>
      </c>
      <c r="Z37" s="29">
        <f>N37</f>
        <v/>
      </c>
      <c r="AA37" s="29">
        <f>R37</f>
        <v/>
      </c>
      <c r="AB37" s="29">
        <f>V37</f>
        <v/>
      </c>
      <c r="AC37" s="37">
        <f>V37</f>
        <v/>
      </c>
    </row>
    <row r="38">
      <c r="A38" s="28" t="inlineStr">
        <is>
          <t>3. Доход от снижения оттока</t>
        </is>
      </c>
      <c r="B38" s="28" t="inlineStr">
        <is>
          <t>млн ₽</t>
        </is>
      </c>
      <c r="C38" s="38">
        <f>C37*$C$14/4/1000000</f>
        <v/>
      </c>
      <c r="D38" s="38">
        <f>D37*$C$14/4/1000000</f>
        <v/>
      </c>
      <c r="E38" s="38">
        <f>E37*$C$14/4/1000000</f>
        <v/>
      </c>
      <c r="F38" s="38">
        <f>F37*$C$14/4/1000000</f>
        <v/>
      </c>
      <c r="G38" s="38">
        <f>G37*$C$14/4/1000000</f>
        <v/>
      </c>
      <c r="H38" s="38">
        <f>H37*$C$14/4/1000000</f>
        <v/>
      </c>
      <c r="I38" s="38">
        <f>I37*$C$14/4/1000000</f>
        <v/>
      </c>
      <c r="J38" s="38">
        <f>J37*$C$14/4/1000000</f>
        <v/>
      </c>
      <c r="K38" s="38">
        <f>K37*$C$14/4/1000000</f>
        <v/>
      </c>
      <c r="L38" s="38">
        <f>L37*$C$14/4/1000000</f>
        <v/>
      </c>
      <c r="M38" s="38">
        <f>M37*$C$14/4/1000000</f>
        <v/>
      </c>
      <c r="N38" s="38">
        <f>N37*$C$14/4/1000000</f>
        <v/>
      </c>
      <c r="O38" s="38">
        <f>O37*$C$14/4/1000000</f>
        <v/>
      </c>
      <c r="P38" s="38">
        <f>P37*$C$14/4/1000000</f>
        <v/>
      </c>
      <c r="Q38" s="38">
        <f>Q37*$C$14/4/1000000</f>
        <v/>
      </c>
      <c r="R38" s="38">
        <f>R37*$C$14/4/1000000</f>
        <v/>
      </c>
      <c r="S38" s="38">
        <f>S37*$C$14/4/1000000</f>
        <v/>
      </c>
      <c r="T38" s="38">
        <f>T37*$C$14/4/1000000</f>
        <v/>
      </c>
      <c r="U38" s="38">
        <f>U37*$C$14/4/1000000</f>
        <v/>
      </c>
      <c r="V38" s="38">
        <f>V37*$C$14/4/1000000</f>
        <v/>
      </c>
      <c r="X38" s="38">
        <f>SUM(C38:F38)</f>
        <v/>
      </c>
      <c r="Y38" s="38">
        <f>SUM(G38:J38)</f>
        <v/>
      </c>
      <c r="Z38" s="38">
        <f>SUM(K38:N38)</f>
        <v/>
      </c>
      <c r="AA38" s="38">
        <f>SUM(O38:R38)</f>
        <v/>
      </c>
      <c r="AB38" s="38">
        <f>SUM(S38:V38)</f>
        <v/>
      </c>
      <c r="AC38" s="39">
        <f>SUM(C38:V38)</f>
        <v/>
      </c>
    </row>
    <row r="39">
      <c r="A39" s="28" t="inlineStr">
        <is>
          <t>Новые клиенты благодаря продукту, накопительно</t>
        </is>
      </c>
      <c r="B39" s="28" t="inlineStr">
        <is>
          <t>чел.</t>
        </is>
      </c>
      <c r="C39" s="29">
        <f>'Допущения'!$C$44/4*'Допущения'!$C$45*C26</f>
        <v/>
      </c>
      <c r="D39" s="29">
        <f>C39*(1-'Допущения'!$C$25/4)+'Допущения'!$C$44/4*'Допущения'!$C$45*D26</f>
        <v/>
      </c>
      <c r="E39" s="29">
        <f>D39*(1-'Допущения'!$C$25/4)+'Допущения'!$C$44/4*'Допущения'!$C$45*E26</f>
        <v/>
      </c>
      <c r="F39" s="29">
        <f>E39*(1-'Допущения'!$C$25/4)+'Допущения'!$C$44/4*'Допущения'!$C$45*F26</f>
        <v/>
      </c>
      <c r="G39" s="29">
        <f>F39*(1-'Допущения'!$C$25/4)+'Допущения'!$C$44/4*'Допущения'!$C$45*G26</f>
        <v/>
      </c>
      <c r="H39" s="29">
        <f>G39*(1-'Допущения'!$C$25/4)+'Допущения'!$C$44/4*'Допущения'!$C$45*H26</f>
        <v/>
      </c>
      <c r="I39" s="29">
        <f>H39*(1-'Допущения'!$C$25/4)+'Допущения'!$C$44/4*'Допущения'!$C$45*I26</f>
        <v/>
      </c>
      <c r="J39" s="29">
        <f>I39*(1-'Допущения'!$C$25/4)+'Допущения'!$C$44/4*'Допущения'!$C$45*J26</f>
        <v/>
      </c>
      <c r="K39" s="29">
        <f>J39*(1-'Допущения'!$C$25/4)+'Допущения'!$C$44/4*'Допущения'!$C$45*K26</f>
        <v/>
      </c>
      <c r="L39" s="29">
        <f>K39*(1-'Допущения'!$C$25/4)+'Допущения'!$C$44/4*'Допущения'!$C$45*L26</f>
        <v/>
      </c>
      <c r="M39" s="29">
        <f>L39*(1-'Допущения'!$C$25/4)+'Допущения'!$C$44/4*'Допущения'!$C$45*M26</f>
        <v/>
      </c>
      <c r="N39" s="29">
        <f>M39*(1-'Допущения'!$C$25/4)+'Допущения'!$C$44/4*'Допущения'!$C$45*N26</f>
        <v/>
      </c>
      <c r="O39" s="29">
        <f>N39*(1-'Допущения'!$C$25/4)+'Допущения'!$C$44/4*'Допущения'!$C$45*O26</f>
        <v/>
      </c>
      <c r="P39" s="29">
        <f>O39*(1-'Допущения'!$C$25/4)+'Допущения'!$C$44/4*'Допущения'!$C$45*P26</f>
        <v/>
      </c>
      <c r="Q39" s="29">
        <f>P39*(1-'Допущения'!$C$25/4)+'Допущения'!$C$44/4*'Допущения'!$C$45*Q26</f>
        <v/>
      </c>
      <c r="R39" s="29">
        <f>Q39*(1-'Допущения'!$C$25/4)+'Допущения'!$C$44/4*'Допущения'!$C$45*R26</f>
        <v/>
      </c>
      <c r="S39" s="29">
        <f>R39*(1-'Допущения'!$C$25/4)+'Допущения'!$C$44/4*'Допущения'!$C$45*S26</f>
        <v/>
      </c>
      <c r="T39" s="29">
        <f>S39*(1-'Допущения'!$C$25/4)+'Допущения'!$C$44/4*'Допущения'!$C$45*T26</f>
        <v/>
      </c>
      <c r="U39" s="29">
        <f>T39*(1-'Допущения'!$C$25/4)+'Допущения'!$C$44/4*'Допущения'!$C$45*U26</f>
        <v/>
      </c>
      <c r="V39" s="29">
        <f>U39*(1-'Допущения'!$C$25/4)+'Допущения'!$C$44/4*'Допущения'!$C$45*V26</f>
        <v/>
      </c>
      <c r="X39" s="29">
        <f>F39</f>
        <v/>
      </c>
      <c r="Y39" s="29">
        <f>J39</f>
        <v/>
      </c>
      <c r="Z39" s="29">
        <f>N39</f>
        <v/>
      </c>
      <c r="AA39" s="29">
        <f>R39</f>
        <v/>
      </c>
      <c r="AB39" s="29">
        <f>V39</f>
        <v/>
      </c>
      <c r="AC39" s="37">
        <f>V39</f>
        <v/>
      </c>
    </row>
    <row r="40">
      <c r="A40" s="28" t="inlineStr">
        <is>
          <t>4. Доход от новых клиентов</t>
        </is>
      </c>
      <c r="B40" s="28" t="inlineStr">
        <is>
          <t>млн ₽</t>
        </is>
      </c>
      <c r="C40" s="38">
        <f>C39*$C$14/4/1000000</f>
        <v/>
      </c>
      <c r="D40" s="38">
        <f>D39*$C$14/4/1000000</f>
        <v/>
      </c>
      <c r="E40" s="38">
        <f>E39*$C$14/4/1000000</f>
        <v/>
      </c>
      <c r="F40" s="38">
        <f>F39*$C$14/4/1000000</f>
        <v/>
      </c>
      <c r="G40" s="38">
        <f>G39*$C$14/4/1000000</f>
        <v/>
      </c>
      <c r="H40" s="38">
        <f>H39*$C$14/4/1000000</f>
        <v/>
      </c>
      <c r="I40" s="38">
        <f>I39*$C$14/4/1000000</f>
        <v/>
      </c>
      <c r="J40" s="38">
        <f>J39*$C$14/4/1000000</f>
        <v/>
      </c>
      <c r="K40" s="38">
        <f>K39*$C$14/4/1000000</f>
        <v/>
      </c>
      <c r="L40" s="38">
        <f>L39*$C$14/4/1000000</f>
        <v/>
      </c>
      <c r="M40" s="38">
        <f>M39*$C$14/4/1000000</f>
        <v/>
      </c>
      <c r="N40" s="38">
        <f>N39*$C$14/4/1000000</f>
        <v/>
      </c>
      <c r="O40" s="38">
        <f>O39*$C$14/4/1000000</f>
        <v/>
      </c>
      <c r="P40" s="38">
        <f>P39*$C$14/4/1000000</f>
        <v/>
      </c>
      <c r="Q40" s="38">
        <f>Q39*$C$14/4/1000000</f>
        <v/>
      </c>
      <c r="R40" s="38">
        <f>R39*$C$14/4/1000000</f>
        <v/>
      </c>
      <c r="S40" s="38">
        <f>S39*$C$14/4/1000000</f>
        <v/>
      </c>
      <c r="T40" s="38">
        <f>T39*$C$14/4/1000000</f>
        <v/>
      </c>
      <c r="U40" s="38">
        <f>U39*$C$14/4/1000000</f>
        <v/>
      </c>
      <c r="V40" s="38">
        <f>V39*$C$14/4/1000000</f>
        <v/>
      </c>
      <c r="X40" s="38">
        <f>SUM(C40:F40)</f>
        <v/>
      </c>
      <c r="Y40" s="38">
        <f>SUM(G40:J40)</f>
        <v/>
      </c>
      <c r="Z40" s="38">
        <f>SUM(K40:N40)</f>
        <v/>
      </c>
      <c r="AA40" s="38">
        <f>SUM(O40:R40)</f>
        <v/>
      </c>
      <c r="AB40" s="38">
        <f>SUM(S40:V40)</f>
        <v/>
      </c>
      <c r="AC40" s="39">
        <f>SUM(C40:V40)</f>
        <v/>
      </c>
    </row>
    <row r="41">
      <c r="A41" s="28" t="inlineStr">
        <is>
          <t>Обращения в КЦ, закрытые самообслуживанием</t>
        </is>
      </c>
      <c r="B41" s="28" t="inlineStr">
        <is>
          <t>шт.</t>
        </is>
      </c>
      <c r="C41" s="29">
        <f>$C$9*1000*'Допущения'!$C$42/4*'Допущения'!$C$43*C27</f>
        <v/>
      </c>
      <c r="D41" s="29">
        <f>$C$9*1000*'Допущения'!$C$42/4*'Допущения'!$C$43*D27</f>
        <v/>
      </c>
      <c r="E41" s="29">
        <f>$C$9*1000*'Допущения'!$C$42/4*'Допущения'!$C$43*E27</f>
        <v/>
      </c>
      <c r="F41" s="29">
        <f>$C$9*1000*'Допущения'!$C$42/4*'Допущения'!$C$43*F27</f>
        <v/>
      </c>
      <c r="G41" s="29">
        <f>$C$9*1000*'Допущения'!$C$42/4*'Допущения'!$C$43*G27</f>
        <v/>
      </c>
      <c r="H41" s="29">
        <f>$C$9*1000*'Допущения'!$C$42/4*'Допущения'!$C$43*H27</f>
        <v/>
      </c>
      <c r="I41" s="29">
        <f>$C$9*1000*'Допущения'!$C$42/4*'Допущения'!$C$43*I27</f>
        <v/>
      </c>
      <c r="J41" s="29">
        <f>$C$9*1000*'Допущения'!$C$42/4*'Допущения'!$C$43*J27</f>
        <v/>
      </c>
      <c r="K41" s="29">
        <f>$C$9*1000*'Допущения'!$C$42/4*'Допущения'!$C$43*K27</f>
        <v/>
      </c>
      <c r="L41" s="29">
        <f>$C$9*1000*'Допущения'!$C$42/4*'Допущения'!$C$43*L27</f>
        <v/>
      </c>
      <c r="M41" s="29">
        <f>$C$9*1000*'Допущения'!$C$42/4*'Допущения'!$C$43*M27</f>
        <v/>
      </c>
      <c r="N41" s="29">
        <f>$C$9*1000*'Допущения'!$C$42/4*'Допущения'!$C$43*N27</f>
        <v/>
      </c>
      <c r="O41" s="29">
        <f>$C$9*1000*'Допущения'!$C$42/4*'Допущения'!$C$43*O27</f>
        <v/>
      </c>
      <c r="P41" s="29">
        <f>$C$9*1000*'Допущения'!$C$42/4*'Допущения'!$C$43*P27</f>
        <v/>
      </c>
      <c r="Q41" s="29">
        <f>$C$9*1000*'Допущения'!$C$42/4*'Допущения'!$C$43*Q27</f>
        <v/>
      </c>
      <c r="R41" s="29">
        <f>$C$9*1000*'Допущения'!$C$42/4*'Допущения'!$C$43*R27</f>
        <v/>
      </c>
      <c r="S41" s="29">
        <f>$C$9*1000*'Допущения'!$C$42/4*'Допущения'!$C$43*S27</f>
        <v/>
      </c>
      <c r="T41" s="29">
        <f>$C$9*1000*'Допущения'!$C$42/4*'Допущения'!$C$43*T27</f>
        <v/>
      </c>
      <c r="U41" s="29">
        <f>$C$9*1000*'Допущения'!$C$42/4*'Допущения'!$C$43*U27</f>
        <v/>
      </c>
      <c r="V41" s="29">
        <f>$C$9*1000*'Допущения'!$C$42/4*'Допущения'!$C$43*V27</f>
        <v/>
      </c>
      <c r="X41" s="29">
        <f>SUM(C41:F41)</f>
        <v/>
      </c>
      <c r="Y41" s="29">
        <f>SUM(G41:J41)</f>
        <v/>
      </c>
      <c r="Z41" s="29">
        <f>SUM(K41:N41)</f>
        <v/>
      </c>
      <c r="AA41" s="29">
        <f>SUM(O41:R41)</f>
        <v/>
      </c>
      <c r="AB41" s="29">
        <f>SUM(S41:V41)</f>
        <v/>
      </c>
      <c r="AC41" s="37">
        <f>SUM(C41:V41)</f>
        <v/>
      </c>
    </row>
    <row r="42">
      <c r="A42" s="28" t="inlineStr">
        <is>
          <t>5. Экономия контакт-центра</t>
        </is>
      </c>
      <c r="B42" s="28" t="inlineStr">
        <is>
          <t>млн ₽</t>
        </is>
      </c>
      <c r="C42" s="38">
        <f>C41*'Допущения'!$C$31/1000000</f>
        <v/>
      </c>
      <c r="D42" s="38">
        <f>D41*'Допущения'!$C$31/1000000</f>
        <v/>
      </c>
      <c r="E42" s="38">
        <f>E41*'Допущения'!$C$31/1000000</f>
        <v/>
      </c>
      <c r="F42" s="38">
        <f>F41*'Допущения'!$C$31/1000000</f>
        <v/>
      </c>
      <c r="G42" s="38">
        <f>G41*'Допущения'!$C$31/1000000</f>
        <v/>
      </c>
      <c r="H42" s="38">
        <f>H41*'Допущения'!$C$31/1000000</f>
        <v/>
      </c>
      <c r="I42" s="38">
        <f>I41*'Допущения'!$C$31/1000000</f>
        <v/>
      </c>
      <c r="J42" s="38">
        <f>J41*'Допущения'!$C$31/1000000</f>
        <v/>
      </c>
      <c r="K42" s="38">
        <f>K41*'Допущения'!$C$31/1000000</f>
        <v/>
      </c>
      <c r="L42" s="38">
        <f>L41*'Допущения'!$C$31/1000000</f>
        <v/>
      </c>
      <c r="M42" s="38">
        <f>M41*'Допущения'!$C$31/1000000</f>
        <v/>
      </c>
      <c r="N42" s="38">
        <f>N41*'Допущения'!$C$31/1000000</f>
        <v/>
      </c>
      <c r="O42" s="38">
        <f>O41*'Допущения'!$C$31/1000000</f>
        <v/>
      </c>
      <c r="P42" s="38">
        <f>P41*'Допущения'!$C$31/1000000</f>
        <v/>
      </c>
      <c r="Q42" s="38">
        <f>Q41*'Допущения'!$C$31/1000000</f>
        <v/>
      </c>
      <c r="R42" s="38">
        <f>R41*'Допущения'!$C$31/1000000</f>
        <v/>
      </c>
      <c r="S42" s="38">
        <f>S41*'Допущения'!$C$31/1000000</f>
        <v/>
      </c>
      <c r="T42" s="38">
        <f>T41*'Допущения'!$C$31/1000000</f>
        <v/>
      </c>
      <c r="U42" s="38">
        <f>U41*'Допущения'!$C$31/1000000</f>
        <v/>
      </c>
      <c r="V42" s="38">
        <f>V41*'Допущения'!$C$31/1000000</f>
        <v/>
      </c>
      <c r="X42" s="38">
        <f>SUM(C42:F42)</f>
        <v/>
      </c>
      <c r="Y42" s="38">
        <f>SUM(G42:J42)</f>
        <v/>
      </c>
      <c r="Z42" s="38">
        <f>SUM(K42:N42)</f>
        <v/>
      </c>
      <c r="AA42" s="38">
        <f>SUM(O42:R42)</f>
        <v/>
      </c>
      <c r="AB42" s="38">
        <f>SUM(S42:V42)</f>
        <v/>
      </c>
      <c r="AC42" s="39">
        <f>SUM(C42:V42)</f>
        <v/>
      </c>
    </row>
    <row r="43">
      <c r="A43" s="4" t="inlineStr">
        <is>
          <t>Эффект для банка — мост из «Детского банка» и «Пушкинская карта»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28" t="inlineStr">
        <is>
          <t>Мост 14 лет: дополнительно оставшиеся подростки, накопительно</t>
        </is>
      </c>
      <c r="B44" s="28" t="inlineStr">
        <is>
          <t>чел.</t>
        </is>
      </c>
      <c r="C44" s="29">
        <f>$C$20/4*C26</f>
        <v/>
      </c>
      <c r="D44" s="29">
        <f>C44*(1-'Допущения'!$C$25/4)+$C$20/4*D26</f>
        <v/>
      </c>
      <c r="E44" s="29">
        <f>D44*(1-'Допущения'!$C$25/4)+$C$20/4*E26</f>
        <v/>
      </c>
      <c r="F44" s="29">
        <f>E44*(1-'Допущения'!$C$25/4)+$C$20/4*F26</f>
        <v/>
      </c>
      <c r="G44" s="29">
        <f>F44*(1-'Допущения'!$C$25/4)+$C$20/4*G26</f>
        <v/>
      </c>
      <c r="H44" s="29">
        <f>G44*(1-'Допущения'!$C$25/4)+$C$20/4*H26</f>
        <v/>
      </c>
      <c r="I44" s="29">
        <f>H44*(1-'Допущения'!$C$25/4)+$C$20/4*I26</f>
        <v/>
      </c>
      <c r="J44" s="29">
        <f>I44*(1-'Допущения'!$C$25/4)+$C$20/4*J26</f>
        <v/>
      </c>
      <c r="K44" s="29">
        <f>J44*(1-'Допущения'!$C$25/4)+$C$20/4*K26</f>
        <v/>
      </c>
      <c r="L44" s="29">
        <f>K44*(1-'Допущения'!$C$25/4)+$C$20/4*L26</f>
        <v/>
      </c>
      <c r="M44" s="29">
        <f>L44*(1-'Допущения'!$C$25/4)+$C$20/4*M26</f>
        <v/>
      </c>
      <c r="N44" s="29">
        <f>M44*(1-'Допущения'!$C$25/4)+$C$20/4*N26</f>
        <v/>
      </c>
      <c r="O44" s="29">
        <f>N44*(1-'Допущения'!$C$25/4)+$C$20/4*O26</f>
        <v/>
      </c>
      <c r="P44" s="29">
        <f>O44*(1-'Допущения'!$C$25/4)+$C$20/4*P26</f>
        <v/>
      </c>
      <c r="Q44" s="29">
        <f>P44*(1-'Допущения'!$C$25/4)+$C$20/4*Q26</f>
        <v/>
      </c>
      <c r="R44" s="29">
        <f>Q44*(1-'Допущения'!$C$25/4)+$C$20/4*R26</f>
        <v/>
      </c>
      <c r="S44" s="29">
        <f>R44*(1-'Допущения'!$C$25/4)+$C$20/4*S26</f>
        <v/>
      </c>
      <c r="T44" s="29">
        <f>S44*(1-'Допущения'!$C$25/4)+$C$20/4*T26</f>
        <v/>
      </c>
      <c r="U44" s="29">
        <f>T44*(1-'Допущения'!$C$25/4)+$C$20/4*U26</f>
        <v/>
      </c>
      <c r="V44" s="29">
        <f>U44*(1-'Допущения'!$C$25/4)+$C$20/4*V26</f>
        <v/>
      </c>
      <c r="X44" s="29">
        <f>F44</f>
        <v/>
      </c>
      <c r="Y44" s="29">
        <f>J44</f>
        <v/>
      </c>
      <c r="Z44" s="29">
        <f>N44</f>
        <v/>
      </c>
      <c r="AA44" s="29">
        <f>R44</f>
        <v/>
      </c>
      <c r="AB44" s="29">
        <f>V44</f>
        <v/>
      </c>
      <c r="AC44" s="37">
        <f>V44</f>
        <v/>
      </c>
    </row>
    <row r="45">
      <c r="A45" s="28" t="inlineStr">
        <is>
          <t>8. Доход от моста «Детский банк» → «Старт»</t>
        </is>
      </c>
      <c r="B45" s="28" t="inlineStr">
        <is>
          <t>млн ₽</t>
        </is>
      </c>
      <c r="C45" s="38">
        <f>C44*$C$14/4/1000000</f>
        <v/>
      </c>
      <c r="D45" s="38">
        <f>D44*$C$14/4/1000000</f>
        <v/>
      </c>
      <c r="E45" s="38">
        <f>E44*$C$14/4/1000000</f>
        <v/>
      </c>
      <c r="F45" s="38">
        <f>F44*$C$14/4/1000000</f>
        <v/>
      </c>
      <c r="G45" s="38">
        <f>G44*$C$14/4/1000000</f>
        <v/>
      </c>
      <c r="H45" s="38">
        <f>H44*$C$14/4/1000000</f>
        <v/>
      </c>
      <c r="I45" s="38">
        <f>I44*$C$14/4/1000000</f>
        <v/>
      </c>
      <c r="J45" s="38">
        <f>J44*$C$14/4/1000000</f>
        <v/>
      </c>
      <c r="K45" s="38">
        <f>K44*$C$14/4/1000000</f>
        <v/>
      </c>
      <c r="L45" s="38">
        <f>L44*$C$14/4/1000000</f>
        <v/>
      </c>
      <c r="M45" s="38">
        <f>M44*$C$14/4/1000000</f>
        <v/>
      </c>
      <c r="N45" s="38">
        <f>N44*$C$14/4/1000000</f>
        <v/>
      </c>
      <c r="O45" s="38">
        <f>O44*$C$14/4/1000000</f>
        <v/>
      </c>
      <c r="P45" s="38">
        <f>P44*$C$14/4/1000000</f>
        <v/>
      </c>
      <c r="Q45" s="38">
        <f>Q44*$C$14/4/1000000</f>
        <v/>
      </c>
      <c r="R45" s="38">
        <f>R44*$C$14/4/1000000</f>
        <v/>
      </c>
      <c r="S45" s="38">
        <f>S44*$C$14/4/1000000</f>
        <v/>
      </c>
      <c r="T45" s="38">
        <f>T44*$C$14/4/1000000</f>
        <v/>
      </c>
      <c r="U45" s="38">
        <f>U44*$C$14/4/1000000</f>
        <v/>
      </c>
      <c r="V45" s="38">
        <f>V44*$C$14/4/1000000</f>
        <v/>
      </c>
      <c r="X45" s="38">
        <f>SUM(C45:F45)</f>
        <v/>
      </c>
      <c r="Y45" s="38">
        <f>SUM(G45:J45)</f>
        <v/>
      </c>
      <c r="Z45" s="38">
        <f>SUM(K45:N45)</f>
        <v/>
      </c>
      <c r="AA45" s="38">
        <f>SUM(O45:R45)</f>
        <v/>
      </c>
      <c r="AB45" s="38">
        <f>SUM(S45:V45)</f>
        <v/>
      </c>
      <c r="AC45" s="39">
        <f>SUM(C45:V45)</f>
        <v/>
      </c>
    </row>
    <row r="46">
      <c r="A46" s="28" t="inlineStr">
        <is>
          <t>Пушкинская карта: новые клиенты через «Старт», накопительно</t>
        </is>
      </c>
      <c r="B46" s="28" t="inlineStr">
        <is>
          <t>чел.</t>
        </is>
      </c>
      <c r="C46" s="29">
        <f>$C$21/4*C26</f>
        <v/>
      </c>
      <c r="D46" s="29">
        <f>C46*(1-'Допущения'!$C$25/4)+$C$21/4*D26</f>
        <v/>
      </c>
      <c r="E46" s="29">
        <f>D46*(1-'Допущения'!$C$25/4)+$C$21/4*E26</f>
        <v/>
      </c>
      <c r="F46" s="29">
        <f>E46*(1-'Допущения'!$C$25/4)+$C$21/4*F26</f>
        <v/>
      </c>
      <c r="G46" s="29">
        <f>F46*(1-'Допущения'!$C$25/4)+$C$21/4*G26</f>
        <v/>
      </c>
      <c r="H46" s="29">
        <f>G46*(1-'Допущения'!$C$25/4)+$C$21/4*H26</f>
        <v/>
      </c>
      <c r="I46" s="29">
        <f>H46*(1-'Допущения'!$C$25/4)+$C$21/4*I26</f>
        <v/>
      </c>
      <c r="J46" s="29">
        <f>I46*(1-'Допущения'!$C$25/4)+$C$21/4*J26</f>
        <v/>
      </c>
      <c r="K46" s="29">
        <f>J46*(1-'Допущения'!$C$25/4)+$C$21/4*K26</f>
        <v/>
      </c>
      <c r="L46" s="29">
        <f>K46*(1-'Допущения'!$C$25/4)+$C$21/4*L26</f>
        <v/>
      </c>
      <c r="M46" s="29">
        <f>L46*(1-'Допущения'!$C$25/4)+$C$21/4*M26</f>
        <v/>
      </c>
      <c r="N46" s="29">
        <f>M46*(1-'Допущения'!$C$25/4)+$C$21/4*N26</f>
        <v/>
      </c>
      <c r="O46" s="29">
        <f>N46*(1-'Допущения'!$C$25/4)+$C$21/4*O26</f>
        <v/>
      </c>
      <c r="P46" s="29">
        <f>O46*(1-'Допущения'!$C$25/4)+$C$21/4*P26</f>
        <v/>
      </c>
      <c r="Q46" s="29">
        <f>P46*(1-'Допущения'!$C$25/4)+$C$21/4*Q26</f>
        <v/>
      </c>
      <c r="R46" s="29">
        <f>Q46*(1-'Допущения'!$C$25/4)+$C$21/4*R26</f>
        <v/>
      </c>
      <c r="S46" s="29">
        <f>R46*(1-'Допущения'!$C$25/4)+$C$21/4*S26</f>
        <v/>
      </c>
      <c r="T46" s="29">
        <f>S46*(1-'Допущения'!$C$25/4)+$C$21/4*T26</f>
        <v/>
      </c>
      <c r="U46" s="29">
        <f>T46*(1-'Допущения'!$C$25/4)+$C$21/4*U26</f>
        <v/>
      </c>
      <c r="V46" s="29">
        <f>U46*(1-'Допущения'!$C$25/4)+$C$21/4*V26</f>
        <v/>
      </c>
      <c r="X46" s="29">
        <f>F46</f>
        <v/>
      </c>
      <c r="Y46" s="29">
        <f>J46</f>
        <v/>
      </c>
      <c r="Z46" s="29">
        <f>N46</f>
        <v/>
      </c>
      <c r="AA46" s="29">
        <f>R46</f>
        <v/>
      </c>
      <c r="AB46" s="29">
        <f>V46</f>
        <v/>
      </c>
      <c r="AC46" s="37">
        <f>V46</f>
        <v/>
      </c>
    </row>
    <row r="47">
      <c r="A47" s="28" t="inlineStr">
        <is>
          <t>9. Доход от клиентов из «Пушкинской карты»</t>
        </is>
      </c>
      <c r="B47" s="28" t="inlineStr">
        <is>
          <t>млн ₽</t>
        </is>
      </c>
      <c r="C47" s="38">
        <f>C46*$C$14/4/1000000</f>
        <v/>
      </c>
      <c r="D47" s="38">
        <f>D46*$C$14/4/1000000</f>
        <v/>
      </c>
      <c r="E47" s="38">
        <f>E46*$C$14/4/1000000</f>
        <v/>
      </c>
      <c r="F47" s="38">
        <f>F46*$C$14/4/1000000</f>
        <v/>
      </c>
      <c r="G47" s="38">
        <f>G46*$C$14/4/1000000</f>
        <v/>
      </c>
      <c r="H47" s="38">
        <f>H46*$C$14/4/1000000</f>
        <v/>
      </c>
      <c r="I47" s="38">
        <f>I46*$C$14/4/1000000</f>
        <v/>
      </c>
      <c r="J47" s="38">
        <f>J46*$C$14/4/1000000</f>
        <v/>
      </c>
      <c r="K47" s="38">
        <f>K46*$C$14/4/1000000</f>
        <v/>
      </c>
      <c r="L47" s="38">
        <f>L46*$C$14/4/1000000</f>
        <v/>
      </c>
      <c r="M47" s="38">
        <f>M46*$C$14/4/1000000</f>
        <v/>
      </c>
      <c r="N47" s="38">
        <f>N46*$C$14/4/1000000</f>
        <v/>
      </c>
      <c r="O47" s="38">
        <f>O46*$C$14/4/1000000</f>
        <v/>
      </c>
      <c r="P47" s="38">
        <f>P46*$C$14/4/1000000</f>
        <v/>
      </c>
      <c r="Q47" s="38">
        <f>Q46*$C$14/4/1000000</f>
        <v/>
      </c>
      <c r="R47" s="38">
        <f>R46*$C$14/4/1000000</f>
        <v/>
      </c>
      <c r="S47" s="38">
        <f>S46*$C$14/4/1000000</f>
        <v/>
      </c>
      <c r="T47" s="38">
        <f>T46*$C$14/4/1000000</f>
        <v/>
      </c>
      <c r="U47" s="38">
        <f>U46*$C$14/4/1000000</f>
        <v/>
      </c>
      <c r="V47" s="38">
        <f>V46*$C$14/4/1000000</f>
        <v/>
      </c>
      <c r="X47" s="38">
        <f>SUM(C47:F47)</f>
        <v/>
      </c>
      <c r="Y47" s="38">
        <f>SUM(G47:J47)</f>
        <v/>
      </c>
      <c r="Z47" s="38">
        <f>SUM(K47:N47)</f>
        <v/>
      </c>
      <c r="AA47" s="38">
        <f>SUM(O47:R47)</f>
        <v/>
      </c>
      <c r="AB47" s="38">
        <f>SUM(S47:V47)</f>
        <v/>
      </c>
      <c r="AC47" s="39">
        <f>SUM(C47:V47)</f>
        <v/>
      </c>
    </row>
    <row r="48">
      <c r="A48" s="4" t="inlineStr">
        <is>
          <t>Эффект для банка — этап 2: перехват для клиентов 23+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28" t="inlineStr">
        <is>
          <t>Предотвращённые дроп-кейсы 23+</t>
        </is>
      </c>
      <c r="B49" s="28" t="inlineStr">
        <is>
          <t>шт.</t>
        </is>
      </c>
      <c r="C49" s="29">
        <f>$C$18/4*'Допущения'!$C$52*C28</f>
        <v/>
      </c>
      <c r="D49" s="29">
        <f>$C$18/4*'Допущения'!$C$52*D28</f>
        <v/>
      </c>
      <c r="E49" s="29">
        <f>$C$18/4*'Допущения'!$C$52*E28</f>
        <v/>
      </c>
      <c r="F49" s="29">
        <f>$C$18/4*'Допущения'!$C$52*F28</f>
        <v/>
      </c>
      <c r="G49" s="29">
        <f>$C$18/4*'Допущения'!$C$52*G28</f>
        <v/>
      </c>
      <c r="H49" s="29">
        <f>$C$18/4*'Допущения'!$C$52*H28</f>
        <v/>
      </c>
      <c r="I49" s="29">
        <f>$C$18/4*'Допущения'!$C$52*I28</f>
        <v/>
      </c>
      <c r="J49" s="29">
        <f>$C$18/4*'Допущения'!$C$52*J28</f>
        <v/>
      </c>
      <c r="K49" s="29">
        <f>$C$18/4*'Допущения'!$C$52*K28</f>
        <v/>
      </c>
      <c r="L49" s="29">
        <f>$C$18/4*'Допущения'!$C$52*L28</f>
        <v/>
      </c>
      <c r="M49" s="29">
        <f>$C$18/4*'Допущения'!$C$52*M28</f>
        <v/>
      </c>
      <c r="N49" s="29">
        <f>$C$18/4*'Допущения'!$C$52*N28</f>
        <v/>
      </c>
      <c r="O49" s="29">
        <f>$C$18/4*'Допущения'!$C$52*O28</f>
        <v/>
      </c>
      <c r="P49" s="29">
        <f>$C$18/4*'Допущения'!$C$52*P28</f>
        <v/>
      </c>
      <c r="Q49" s="29">
        <f>$C$18/4*'Допущения'!$C$52*Q28</f>
        <v/>
      </c>
      <c r="R49" s="29">
        <f>$C$18/4*'Допущения'!$C$52*R28</f>
        <v/>
      </c>
      <c r="S49" s="29">
        <f>$C$18/4*'Допущения'!$C$52*S28</f>
        <v/>
      </c>
      <c r="T49" s="29">
        <f>$C$18/4*'Допущения'!$C$52*T28</f>
        <v/>
      </c>
      <c r="U49" s="29">
        <f>$C$18/4*'Допущения'!$C$52*U28</f>
        <v/>
      </c>
      <c r="V49" s="29">
        <f>$C$18/4*'Допущения'!$C$52*V28</f>
        <v/>
      </c>
      <c r="X49" s="29">
        <f>SUM(C49:F49)</f>
        <v/>
      </c>
      <c r="Y49" s="29">
        <f>SUM(G49:J49)</f>
        <v/>
      </c>
      <c r="Z49" s="29">
        <f>SUM(K49:N49)</f>
        <v/>
      </c>
      <c r="AA49" s="29">
        <f>SUM(O49:R49)</f>
        <v/>
      </c>
      <c r="AB49" s="29">
        <f>SUM(S49:V49)</f>
        <v/>
      </c>
      <c r="AC49" s="37">
        <f>SUM(C49:V49)</f>
        <v/>
      </c>
    </row>
    <row r="50">
      <c r="A50" s="28" t="inlineStr">
        <is>
          <t>6. Экономия на разборе дроп-кейсов 23+</t>
        </is>
      </c>
      <c r="B50" s="28" t="inlineStr">
        <is>
          <t>млн ₽</t>
        </is>
      </c>
      <c r="C50" s="38">
        <f>C49*$C$15/1000000</f>
        <v/>
      </c>
      <c r="D50" s="38">
        <f>D49*$C$15/1000000</f>
        <v/>
      </c>
      <c r="E50" s="38">
        <f>E49*$C$15/1000000</f>
        <v/>
      </c>
      <c r="F50" s="38">
        <f>F49*$C$15/1000000</f>
        <v/>
      </c>
      <c r="G50" s="38">
        <f>G49*$C$15/1000000</f>
        <v/>
      </c>
      <c r="H50" s="38">
        <f>H49*$C$15/1000000</f>
        <v/>
      </c>
      <c r="I50" s="38">
        <f>I49*$C$15/1000000</f>
        <v/>
      </c>
      <c r="J50" s="38">
        <f>J49*$C$15/1000000</f>
        <v/>
      </c>
      <c r="K50" s="38">
        <f>K49*$C$15/1000000</f>
        <v/>
      </c>
      <c r="L50" s="38">
        <f>L49*$C$15/1000000</f>
        <v/>
      </c>
      <c r="M50" s="38">
        <f>M49*$C$15/1000000</f>
        <v/>
      </c>
      <c r="N50" s="38">
        <f>N49*$C$15/1000000</f>
        <v/>
      </c>
      <c r="O50" s="38">
        <f>O49*$C$15/1000000</f>
        <v/>
      </c>
      <c r="P50" s="38">
        <f>P49*$C$15/1000000</f>
        <v/>
      </c>
      <c r="Q50" s="38">
        <f>Q49*$C$15/1000000</f>
        <v/>
      </c>
      <c r="R50" s="38">
        <f>R49*$C$15/1000000</f>
        <v/>
      </c>
      <c r="S50" s="38">
        <f>S49*$C$15/1000000</f>
        <v/>
      </c>
      <c r="T50" s="38">
        <f>T49*$C$15/1000000</f>
        <v/>
      </c>
      <c r="U50" s="38">
        <f>U49*$C$15/1000000</f>
        <v/>
      </c>
      <c r="V50" s="38">
        <f>V49*$C$15/1000000</f>
        <v/>
      </c>
      <c r="X50" s="38">
        <f>SUM(C50:F50)</f>
        <v/>
      </c>
      <c r="Y50" s="38">
        <f>SUM(G50:J50)</f>
        <v/>
      </c>
      <c r="Z50" s="38">
        <f>SUM(K50:N50)</f>
        <v/>
      </c>
      <c r="AA50" s="38">
        <f>SUM(O50:R50)</f>
        <v/>
      </c>
      <c r="AB50" s="38">
        <f>SUM(S50:V50)</f>
        <v/>
      </c>
      <c r="AC50" s="39">
        <f>SUM(C50:V50)</f>
        <v/>
      </c>
    </row>
    <row r="51">
      <c r="A51" s="28" t="inlineStr">
        <is>
          <t>Сохранённые взрослые клиенты, накопительно</t>
        </is>
      </c>
      <c r="B51" s="28" t="inlineStr">
        <is>
          <t>чел.</t>
        </is>
      </c>
      <c r="C51" s="29">
        <f>C49*'Допущения'!$C$35</f>
        <v/>
      </c>
      <c r="D51" s="29">
        <f>C51*(1-'Допущения'!$C$54/4)+D49*'Допущения'!$C$35</f>
        <v/>
      </c>
      <c r="E51" s="29">
        <f>D51*(1-'Допущения'!$C$54/4)+E49*'Допущения'!$C$35</f>
        <v/>
      </c>
      <c r="F51" s="29">
        <f>E51*(1-'Допущения'!$C$54/4)+F49*'Допущения'!$C$35</f>
        <v/>
      </c>
      <c r="G51" s="29">
        <f>F51*(1-'Допущения'!$C$54/4)+G49*'Допущения'!$C$35</f>
        <v/>
      </c>
      <c r="H51" s="29">
        <f>G51*(1-'Допущения'!$C$54/4)+H49*'Допущения'!$C$35</f>
        <v/>
      </c>
      <c r="I51" s="29">
        <f>H51*(1-'Допущения'!$C$54/4)+I49*'Допущения'!$C$35</f>
        <v/>
      </c>
      <c r="J51" s="29">
        <f>I51*(1-'Допущения'!$C$54/4)+J49*'Допущения'!$C$35</f>
        <v/>
      </c>
      <c r="K51" s="29">
        <f>J51*(1-'Допущения'!$C$54/4)+K49*'Допущения'!$C$35</f>
        <v/>
      </c>
      <c r="L51" s="29">
        <f>K51*(1-'Допущения'!$C$54/4)+L49*'Допущения'!$C$35</f>
        <v/>
      </c>
      <c r="M51" s="29">
        <f>L51*(1-'Допущения'!$C$54/4)+M49*'Допущения'!$C$35</f>
        <v/>
      </c>
      <c r="N51" s="29">
        <f>M51*(1-'Допущения'!$C$54/4)+N49*'Допущения'!$C$35</f>
        <v/>
      </c>
      <c r="O51" s="29">
        <f>N51*(1-'Допущения'!$C$54/4)+O49*'Допущения'!$C$35</f>
        <v/>
      </c>
      <c r="P51" s="29">
        <f>O51*(1-'Допущения'!$C$54/4)+P49*'Допущения'!$C$35</f>
        <v/>
      </c>
      <c r="Q51" s="29">
        <f>P51*(1-'Допущения'!$C$54/4)+Q49*'Допущения'!$C$35</f>
        <v/>
      </c>
      <c r="R51" s="29">
        <f>Q51*(1-'Допущения'!$C$54/4)+R49*'Допущения'!$C$35</f>
        <v/>
      </c>
      <c r="S51" s="29">
        <f>R51*(1-'Допущения'!$C$54/4)+S49*'Допущения'!$C$35</f>
        <v/>
      </c>
      <c r="T51" s="29">
        <f>S51*(1-'Допущения'!$C$54/4)+T49*'Допущения'!$C$35</f>
        <v/>
      </c>
      <c r="U51" s="29">
        <f>T51*(1-'Допущения'!$C$54/4)+U49*'Допущения'!$C$35</f>
        <v/>
      </c>
      <c r="V51" s="29">
        <f>U51*(1-'Допущения'!$C$54/4)+V49*'Допущения'!$C$35</f>
        <v/>
      </c>
      <c r="X51" s="29">
        <f>F51</f>
        <v/>
      </c>
      <c r="Y51" s="29">
        <f>J51</f>
        <v/>
      </c>
      <c r="Z51" s="29">
        <f>N51</f>
        <v/>
      </c>
      <c r="AA51" s="29">
        <f>R51</f>
        <v/>
      </c>
      <c r="AB51" s="29">
        <f>V51</f>
        <v/>
      </c>
      <c r="AC51" s="37">
        <f>V51</f>
        <v/>
      </c>
    </row>
    <row r="52">
      <c r="A52" s="28" t="inlineStr">
        <is>
          <t>7. Доход от сохранённых взрослых клиентов</t>
        </is>
      </c>
      <c r="B52" s="28" t="inlineStr">
        <is>
          <t>млн ₽</t>
        </is>
      </c>
      <c r="C52" s="38">
        <f>C51*'Допущения'!$C$53/4/1000000</f>
        <v/>
      </c>
      <c r="D52" s="38">
        <f>D51*'Допущения'!$C$53/4/1000000</f>
        <v/>
      </c>
      <c r="E52" s="38">
        <f>E51*'Допущения'!$C$53/4/1000000</f>
        <v/>
      </c>
      <c r="F52" s="38">
        <f>F51*'Допущения'!$C$53/4/1000000</f>
        <v/>
      </c>
      <c r="G52" s="38">
        <f>G51*'Допущения'!$C$53/4/1000000</f>
        <v/>
      </c>
      <c r="H52" s="38">
        <f>H51*'Допущения'!$C$53/4/1000000</f>
        <v/>
      </c>
      <c r="I52" s="38">
        <f>I51*'Допущения'!$C$53/4/1000000</f>
        <v/>
      </c>
      <c r="J52" s="38">
        <f>J51*'Допущения'!$C$53/4/1000000</f>
        <v/>
      </c>
      <c r="K52" s="38">
        <f>K51*'Допущения'!$C$53/4/1000000</f>
        <v/>
      </c>
      <c r="L52" s="38">
        <f>L51*'Допущения'!$C$53/4/1000000</f>
        <v/>
      </c>
      <c r="M52" s="38">
        <f>M51*'Допущения'!$C$53/4/1000000</f>
        <v/>
      </c>
      <c r="N52" s="38">
        <f>N51*'Допущения'!$C$53/4/1000000</f>
        <v/>
      </c>
      <c r="O52" s="38">
        <f>O51*'Допущения'!$C$53/4/1000000</f>
        <v/>
      </c>
      <c r="P52" s="38">
        <f>P51*'Допущения'!$C$53/4/1000000</f>
        <v/>
      </c>
      <c r="Q52" s="38">
        <f>Q51*'Допущения'!$C$53/4/1000000</f>
        <v/>
      </c>
      <c r="R52" s="38">
        <f>R51*'Допущения'!$C$53/4/1000000</f>
        <v/>
      </c>
      <c r="S52" s="38">
        <f>S51*'Допущения'!$C$53/4/1000000</f>
        <v/>
      </c>
      <c r="T52" s="38">
        <f>T51*'Допущения'!$C$53/4/1000000</f>
        <v/>
      </c>
      <c r="U52" s="38">
        <f>U51*'Допущения'!$C$53/4/1000000</f>
        <v/>
      </c>
      <c r="V52" s="38">
        <f>V51*'Допущения'!$C$53/4/1000000</f>
        <v/>
      </c>
      <c r="X52" s="38">
        <f>SUM(C52:F52)</f>
        <v/>
      </c>
      <c r="Y52" s="38">
        <f>SUM(G52:J52)</f>
        <v/>
      </c>
      <c r="Z52" s="38">
        <f>SUM(K52:N52)</f>
        <v/>
      </c>
      <c r="AA52" s="38">
        <f>SUM(O52:R52)</f>
        <v/>
      </c>
      <c r="AB52" s="38">
        <f>SUM(S52:V52)</f>
        <v/>
      </c>
      <c r="AC52" s="39">
        <f>SUM(C52:V52)</f>
        <v/>
      </c>
    </row>
    <row r="53">
      <c r="A53" s="40" t="inlineStr">
        <is>
          <t>ИТОГО ЭФФЕКТ</t>
        </is>
      </c>
      <c r="B53" s="41" t="inlineStr">
        <is>
          <t>млн ₽</t>
        </is>
      </c>
      <c r="C53" s="42">
        <f>C34+C36+C38+C40+C42+C45+C47+C50+C52</f>
        <v/>
      </c>
      <c r="D53" s="42">
        <f>D34+D36+D38+D40+D42+D45+D47+D50+D52</f>
        <v/>
      </c>
      <c r="E53" s="42">
        <f>E34+E36+E38+E40+E42+E45+E47+E50+E52</f>
        <v/>
      </c>
      <c r="F53" s="42">
        <f>F34+F36+F38+F40+F42+F45+F47+F50+F52</f>
        <v/>
      </c>
      <c r="G53" s="42">
        <f>G34+G36+G38+G40+G42+G45+G47+G50+G52</f>
        <v/>
      </c>
      <c r="H53" s="42">
        <f>H34+H36+H38+H40+H42+H45+H47+H50+H52</f>
        <v/>
      </c>
      <c r="I53" s="42">
        <f>I34+I36+I38+I40+I42+I45+I47+I50+I52</f>
        <v/>
      </c>
      <c r="J53" s="42">
        <f>J34+J36+J38+J40+J42+J45+J47+J50+J52</f>
        <v/>
      </c>
      <c r="K53" s="42">
        <f>K34+K36+K38+K40+K42+K45+K47+K50+K52</f>
        <v/>
      </c>
      <c r="L53" s="42">
        <f>L34+L36+L38+L40+L42+L45+L47+L50+L52</f>
        <v/>
      </c>
      <c r="M53" s="42">
        <f>M34+M36+M38+M40+M42+M45+M47+M50+M52</f>
        <v/>
      </c>
      <c r="N53" s="42">
        <f>N34+N36+N38+N40+N42+N45+N47+N50+N52</f>
        <v/>
      </c>
      <c r="O53" s="42">
        <f>O34+O36+O38+O40+O42+O45+O47+O50+O52</f>
        <v/>
      </c>
      <c r="P53" s="42">
        <f>P34+P36+P38+P40+P42+P45+P47+P50+P52</f>
        <v/>
      </c>
      <c r="Q53" s="42">
        <f>Q34+Q36+Q38+Q40+Q42+Q45+Q47+Q50+Q52</f>
        <v/>
      </c>
      <c r="R53" s="42">
        <f>R34+R36+R38+R40+R42+R45+R47+R50+R52</f>
        <v/>
      </c>
      <c r="S53" s="42">
        <f>S34+S36+S38+S40+S42+S45+S47+S50+S52</f>
        <v/>
      </c>
      <c r="T53" s="42">
        <f>T34+T36+T38+T40+T42+T45+T47+T50+T52</f>
        <v/>
      </c>
      <c r="U53" s="42">
        <f>U34+U36+U38+U40+U42+U45+U47+U50+U52</f>
        <v/>
      </c>
      <c r="V53" s="42">
        <f>V34+V36+V38+V40+V42+V45+V47+V50+V52</f>
        <v/>
      </c>
      <c r="X53" s="42">
        <f>SUM(C53:F53)</f>
        <v/>
      </c>
      <c r="Y53" s="42">
        <f>SUM(G53:J53)</f>
        <v/>
      </c>
      <c r="Z53" s="42">
        <f>SUM(K53:N53)</f>
        <v/>
      </c>
      <c r="AA53" s="42">
        <f>SUM(O53:R53)</f>
        <v/>
      </c>
      <c r="AB53" s="42">
        <f>SUM(S53:V53)</f>
        <v/>
      </c>
      <c r="AC53" s="42">
        <f>SUM(C53:V53)</f>
        <v/>
      </c>
    </row>
    <row r="54">
      <c r="A54" s="4" t="inlineStr">
        <is>
          <t>Затраты на внедрение и поддержку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28" t="inlineStr">
        <is>
          <t>Команда: разработка и пилот</t>
        </is>
      </c>
      <c r="B55" s="28" t="inlineStr">
        <is>
          <t>млн ₽</t>
        </is>
      </c>
      <c r="C55" s="38">
        <f>C25*SUMPRODUCT('Допущения'!$C$85:$C$93,'Допущения'!$B$85:$B$93)*1000*$C$17*3/1000000</f>
        <v/>
      </c>
      <c r="D55" s="38">
        <f>D25*SUMPRODUCT('Допущения'!$C$85:$C$93,'Допущения'!$B$85:$B$93)*1000*$C$17*3/1000000</f>
        <v/>
      </c>
      <c r="E55" s="38">
        <f>E25*SUMPRODUCT('Допущения'!$C$85:$C$93,'Допущения'!$B$85:$B$93)*1000*$C$17*3/1000000</f>
        <v/>
      </c>
      <c r="F55" s="38">
        <f>F25*SUMPRODUCT('Допущения'!$C$85:$C$93,'Допущения'!$B$85:$B$93)*1000*$C$17*3/1000000</f>
        <v/>
      </c>
      <c r="G55" s="38">
        <f>G25*SUMPRODUCT('Допущения'!$C$85:$C$93,'Допущения'!$B$85:$B$93)*1000*$C$17*3/1000000</f>
        <v/>
      </c>
      <c r="H55" s="38">
        <f>H25*SUMPRODUCT('Допущения'!$C$85:$C$93,'Допущения'!$B$85:$B$93)*1000*$C$17*3/1000000</f>
        <v/>
      </c>
      <c r="I55" s="38">
        <f>I25*SUMPRODUCT('Допущения'!$C$85:$C$93,'Допущения'!$B$85:$B$93)*1000*$C$17*3/1000000</f>
        <v/>
      </c>
      <c r="J55" s="38">
        <f>J25*SUMPRODUCT('Допущения'!$C$85:$C$93,'Допущения'!$B$85:$B$93)*1000*$C$17*3/1000000</f>
        <v/>
      </c>
      <c r="K55" s="38">
        <f>K25*SUMPRODUCT('Допущения'!$C$85:$C$93,'Допущения'!$B$85:$B$93)*1000*$C$17*3/1000000</f>
        <v/>
      </c>
      <c r="L55" s="38">
        <f>L25*SUMPRODUCT('Допущения'!$C$85:$C$93,'Допущения'!$B$85:$B$93)*1000*$C$17*3/1000000</f>
        <v/>
      </c>
      <c r="M55" s="38">
        <f>M25*SUMPRODUCT('Допущения'!$C$85:$C$93,'Допущения'!$B$85:$B$93)*1000*$C$17*3/1000000</f>
        <v/>
      </c>
      <c r="N55" s="38">
        <f>N25*SUMPRODUCT('Допущения'!$C$85:$C$93,'Допущения'!$B$85:$B$93)*1000*$C$17*3/1000000</f>
        <v/>
      </c>
      <c r="O55" s="38">
        <f>O25*SUMPRODUCT('Допущения'!$C$85:$C$93,'Допущения'!$B$85:$B$93)*1000*$C$17*3/1000000</f>
        <v/>
      </c>
      <c r="P55" s="38">
        <f>P25*SUMPRODUCT('Допущения'!$C$85:$C$93,'Допущения'!$B$85:$B$93)*1000*$C$17*3/1000000</f>
        <v/>
      </c>
      <c r="Q55" s="38">
        <f>Q25*SUMPRODUCT('Допущения'!$C$85:$C$93,'Допущения'!$B$85:$B$93)*1000*$C$17*3/1000000</f>
        <v/>
      </c>
      <c r="R55" s="38">
        <f>R25*SUMPRODUCT('Допущения'!$C$85:$C$93,'Допущения'!$B$85:$B$93)*1000*$C$17*3/1000000</f>
        <v/>
      </c>
      <c r="S55" s="38">
        <f>S25*SUMPRODUCT('Допущения'!$C$85:$C$93,'Допущения'!$B$85:$B$93)*1000*$C$17*3/1000000</f>
        <v/>
      </c>
      <c r="T55" s="38">
        <f>T25*SUMPRODUCT('Допущения'!$C$85:$C$93,'Допущения'!$B$85:$B$93)*1000*$C$17*3/1000000</f>
        <v/>
      </c>
      <c r="U55" s="38">
        <f>U25*SUMPRODUCT('Допущения'!$C$85:$C$93,'Допущения'!$B$85:$B$93)*1000*$C$17*3/1000000</f>
        <v/>
      </c>
      <c r="V55" s="38">
        <f>V25*SUMPRODUCT('Допущения'!$C$85:$C$93,'Допущения'!$B$85:$B$93)*1000*$C$17*3/1000000</f>
        <v/>
      </c>
      <c r="X55" s="38">
        <f>SUM(C55:F55)</f>
        <v/>
      </c>
      <c r="Y55" s="38">
        <f>SUM(G55:J55)</f>
        <v/>
      </c>
      <c r="Z55" s="38">
        <f>SUM(K55:N55)</f>
        <v/>
      </c>
      <c r="AA55" s="38">
        <f>SUM(O55:R55)</f>
        <v/>
      </c>
      <c r="AB55" s="38">
        <f>SUM(S55:V55)</f>
        <v/>
      </c>
      <c r="AC55" s="39">
        <f>SUM(C55:V55)</f>
        <v/>
      </c>
    </row>
    <row r="56">
      <c r="A56" s="28" t="inlineStr">
        <is>
          <t>Команда: эксплуатация и развитие</t>
        </is>
      </c>
      <c r="B56" s="28" t="inlineStr">
        <is>
          <t>млн ₽</t>
        </is>
      </c>
      <c r="C56" s="38">
        <f>(1-C25)*SUMPRODUCT('Допущения'!$D$85:$D$93,'Допущения'!$B$85:$B$93)*1000*$C$17*3/1000000</f>
        <v/>
      </c>
      <c r="D56" s="38">
        <f>(1-D25)*SUMPRODUCT('Допущения'!$D$85:$D$93,'Допущения'!$B$85:$B$93)*1000*$C$17*3/1000000</f>
        <v/>
      </c>
      <c r="E56" s="38">
        <f>(1-E25)*SUMPRODUCT('Допущения'!$D$85:$D$93,'Допущения'!$B$85:$B$93)*1000*$C$17*3/1000000</f>
        <v/>
      </c>
      <c r="F56" s="38">
        <f>(1-F25)*SUMPRODUCT('Допущения'!$D$85:$D$93,'Допущения'!$B$85:$B$93)*1000*$C$17*3/1000000</f>
        <v/>
      </c>
      <c r="G56" s="38">
        <f>(1-G25)*SUMPRODUCT('Допущения'!$D$85:$D$93,'Допущения'!$B$85:$B$93)*1000*$C$17*3/1000000</f>
        <v/>
      </c>
      <c r="H56" s="38">
        <f>(1-H25)*SUMPRODUCT('Допущения'!$D$85:$D$93,'Допущения'!$B$85:$B$93)*1000*$C$17*3/1000000</f>
        <v/>
      </c>
      <c r="I56" s="38">
        <f>(1-I25)*SUMPRODUCT('Допущения'!$D$85:$D$93,'Допущения'!$B$85:$B$93)*1000*$C$17*3/1000000</f>
        <v/>
      </c>
      <c r="J56" s="38">
        <f>(1-J25)*SUMPRODUCT('Допущения'!$D$85:$D$93,'Допущения'!$B$85:$B$93)*1000*$C$17*3/1000000</f>
        <v/>
      </c>
      <c r="K56" s="38">
        <f>(1-K25)*SUMPRODUCT('Допущения'!$D$85:$D$93,'Допущения'!$B$85:$B$93)*1000*$C$17*3/1000000</f>
        <v/>
      </c>
      <c r="L56" s="38">
        <f>(1-L25)*SUMPRODUCT('Допущения'!$D$85:$D$93,'Допущения'!$B$85:$B$93)*1000*$C$17*3/1000000</f>
        <v/>
      </c>
      <c r="M56" s="38">
        <f>(1-M25)*SUMPRODUCT('Допущения'!$D$85:$D$93,'Допущения'!$B$85:$B$93)*1000*$C$17*3/1000000</f>
        <v/>
      </c>
      <c r="N56" s="38">
        <f>(1-N25)*SUMPRODUCT('Допущения'!$D$85:$D$93,'Допущения'!$B$85:$B$93)*1000*$C$17*3/1000000</f>
        <v/>
      </c>
      <c r="O56" s="38">
        <f>(1-O25)*SUMPRODUCT('Допущения'!$D$85:$D$93,'Допущения'!$B$85:$B$93)*1000*$C$17*3/1000000</f>
        <v/>
      </c>
      <c r="P56" s="38">
        <f>(1-P25)*SUMPRODUCT('Допущения'!$D$85:$D$93,'Допущения'!$B$85:$B$93)*1000*$C$17*3/1000000</f>
        <v/>
      </c>
      <c r="Q56" s="38">
        <f>(1-Q25)*SUMPRODUCT('Допущения'!$D$85:$D$93,'Допущения'!$B$85:$B$93)*1000*$C$17*3/1000000</f>
        <v/>
      </c>
      <c r="R56" s="38">
        <f>(1-R25)*SUMPRODUCT('Допущения'!$D$85:$D$93,'Допущения'!$B$85:$B$93)*1000*$C$17*3/1000000</f>
        <v/>
      </c>
      <c r="S56" s="38">
        <f>(1-S25)*SUMPRODUCT('Допущения'!$D$85:$D$93,'Допущения'!$B$85:$B$93)*1000*$C$17*3/1000000</f>
        <v/>
      </c>
      <c r="T56" s="38">
        <f>(1-T25)*SUMPRODUCT('Допущения'!$D$85:$D$93,'Допущения'!$B$85:$B$93)*1000*$C$17*3/1000000</f>
        <v/>
      </c>
      <c r="U56" s="38">
        <f>(1-U25)*SUMPRODUCT('Допущения'!$D$85:$D$93,'Допущения'!$B$85:$B$93)*1000*$C$17*3/1000000</f>
        <v/>
      </c>
      <c r="V56" s="38">
        <f>(1-V25)*SUMPRODUCT('Допущения'!$D$85:$D$93,'Допущения'!$B$85:$B$93)*1000*$C$17*3/1000000</f>
        <v/>
      </c>
      <c r="X56" s="38">
        <f>SUM(C56:F56)</f>
        <v/>
      </c>
      <c r="Y56" s="38">
        <f>SUM(G56:J56)</f>
        <v/>
      </c>
      <c r="Z56" s="38">
        <f>SUM(K56:N56)</f>
        <v/>
      </c>
      <c r="AA56" s="38">
        <f>SUM(O56:R56)</f>
        <v/>
      </c>
      <c r="AB56" s="38">
        <f>SUM(S56:V56)</f>
        <v/>
      </c>
      <c r="AC56" s="39">
        <f>SUM(C56:V56)</f>
        <v/>
      </c>
    </row>
    <row r="57">
      <c r="A57" s="28" t="inlineStr">
        <is>
          <t>Инфраструктура, ИБ, контент, маркетинг (график)</t>
        </is>
      </c>
      <c r="B57" s="28" t="inlineStr">
        <is>
          <t>млн ₽</t>
        </is>
      </c>
      <c r="C57" s="38">
        <f>SUM('Допущения'!C$101:C$106)</f>
        <v/>
      </c>
      <c r="D57" s="38">
        <f>SUM('Допущения'!D$101:D$106)</f>
        <v/>
      </c>
      <c r="E57" s="38">
        <f>SUM('Допущения'!E$101:E$106)</f>
        <v/>
      </c>
      <c r="F57" s="38">
        <f>SUM('Допущения'!F$101:F$106)</f>
        <v/>
      </c>
      <c r="G57" s="38">
        <f>SUM('Допущения'!G$101:G$106)</f>
        <v/>
      </c>
      <c r="H57" s="38">
        <f>SUM('Допущения'!H$101:H$106)</f>
        <v/>
      </c>
      <c r="I57" s="38">
        <f>SUM('Допущения'!I$101:I$106)</f>
        <v/>
      </c>
      <c r="J57" s="38">
        <f>SUM('Допущения'!J$101:J$106)</f>
        <v/>
      </c>
      <c r="K57" s="38">
        <f>SUM('Допущения'!K$101:K$106)</f>
        <v/>
      </c>
      <c r="L57" s="38">
        <f>SUM('Допущения'!L$101:L$106)</f>
        <v/>
      </c>
      <c r="M57" s="38">
        <f>SUM('Допущения'!M$101:M$106)</f>
        <v/>
      </c>
      <c r="N57" s="38">
        <f>SUM('Допущения'!N$101:N$106)</f>
        <v/>
      </c>
      <c r="O57" s="38">
        <f>SUM('Допущения'!O$101:O$106)</f>
        <v/>
      </c>
      <c r="P57" s="38">
        <f>SUM('Допущения'!P$101:P$106)</f>
        <v/>
      </c>
      <c r="Q57" s="38">
        <f>SUM('Допущения'!Q$101:Q$106)</f>
        <v/>
      </c>
      <c r="R57" s="38">
        <f>SUM('Допущения'!R$101:R$106)</f>
        <v/>
      </c>
      <c r="S57" s="38">
        <f>SUM('Допущения'!S$101:S$106)</f>
        <v/>
      </c>
      <c r="T57" s="38">
        <f>SUM('Допущения'!T$101:T$106)</f>
        <v/>
      </c>
      <c r="U57" s="38">
        <f>SUM('Допущения'!U$101:U$106)</f>
        <v/>
      </c>
      <c r="V57" s="38">
        <f>SUM('Допущения'!V$101:V$106)</f>
        <v/>
      </c>
      <c r="X57" s="38">
        <f>SUM(C57:F57)</f>
        <v/>
      </c>
      <c r="Y57" s="38">
        <f>SUM(G57:J57)</f>
        <v/>
      </c>
      <c r="Z57" s="38">
        <f>SUM(K57:N57)</f>
        <v/>
      </c>
      <c r="AA57" s="38">
        <f>SUM(O57:R57)</f>
        <v/>
      </c>
      <c r="AB57" s="38">
        <f>SUM(S57:V57)</f>
        <v/>
      </c>
      <c r="AC57" s="39">
        <f>SUM(C57:V57)</f>
        <v/>
      </c>
    </row>
    <row r="58">
      <c r="A58" s="28" t="inlineStr">
        <is>
          <t>Мост и «Пушкинская карта»: интеграция и поддержка</t>
        </is>
      </c>
      <c r="B58" s="28" t="inlineStr">
        <is>
          <t>млн ₽</t>
        </is>
      </c>
      <c r="C58" s="38">
        <f>'Допущения'!C$108*'Допущения'!$C$62+'Допущения'!C$109*'Допущения'!$C$66</f>
        <v/>
      </c>
      <c r="D58" s="38">
        <f>'Допущения'!D$108*'Допущения'!$C$62+'Допущения'!D$109*'Допущения'!$C$66</f>
        <v/>
      </c>
      <c r="E58" s="38">
        <f>'Допущения'!E$108*'Допущения'!$C$62+'Допущения'!E$109*'Допущения'!$C$66</f>
        <v/>
      </c>
      <c r="F58" s="38">
        <f>'Допущения'!F$108*'Допущения'!$C$62+'Допущения'!F$109*'Допущения'!$C$66</f>
        <v/>
      </c>
      <c r="G58" s="38">
        <f>'Допущения'!G$108*'Допущения'!$C$62+'Допущения'!G$109*'Допущения'!$C$66</f>
        <v/>
      </c>
      <c r="H58" s="38">
        <f>'Допущения'!H$108*'Допущения'!$C$62+'Допущения'!H$109*'Допущения'!$C$66</f>
        <v/>
      </c>
      <c r="I58" s="38">
        <f>'Допущения'!I$108*'Допущения'!$C$62+'Допущения'!I$109*'Допущения'!$C$66</f>
        <v/>
      </c>
      <c r="J58" s="38">
        <f>'Допущения'!J$108*'Допущения'!$C$62+'Допущения'!J$109*'Допущения'!$C$66</f>
        <v/>
      </c>
      <c r="K58" s="38">
        <f>'Допущения'!K$108*'Допущения'!$C$62+'Допущения'!K$109*'Допущения'!$C$66</f>
        <v/>
      </c>
      <c r="L58" s="38">
        <f>'Допущения'!L$108*'Допущения'!$C$62+'Допущения'!L$109*'Допущения'!$C$66</f>
        <v/>
      </c>
      <c r="M58" s="38">
        <f>'Допущения'!M$108*'Допущения'!$C$62+'Допущения'!M$109*'Допущения'!$C$66</f>
        <v/>
      </c>
      <c r="N58" s="38">
        <f>'Допущения'!N$108*'Допущения'!$C$62+'Допущения'!N$109*'Допущения'!$C$66</f>
        <v/>
      </c>
      <c r="O58" s="38">
        <f>'Допущения'!O$108*'Допущения'!$C$62+'Допущения'!O$109*'Допущения'!$C$66</f>
        <v/>
      </c>
      <c r="P58" s="38">
        <f>'Допущения'!P$108*'Допущения'!$C$62+'Допущения'!P$109*'Допущения'!$C$66</f>
        <v/>
      </c>
      <c r="Q58" s="38">
        <f>'Допущения'!Q$108*'Допущения'!$C$62+'Допущения'!Q$109*'Допущения'!$C$66</f>
        <v/>
      </c>
      <c r="R58" s="38">
        <f>'Допущения'!R$108*'Допущения'!$C$62+'Допущения'!R$109*'Допущения'!$C$66</f>
        <v/>
      </c>
      <c r="S58" s="38">
        <f>'Допущения'!S$108*'Допущения'!$C$62+'Допущения'!S$109*'Допущения'!$C$66</f>
        <v/>
      </c>
      <c r="T58" s="38">
        <f>'Допущения'!T$108*'Допущения'!$C$62+'Допущения'!T$109*'Допущения'!$C$66</f>
        <v/>
      </c>
      <c r="U58" s="38">
        <f>'Допущения'!U$108*'Допущения'!$C$62+'Допущения'!U$109*'Допущения'!$C$66</f>
        <v/>
      </c>
      <c r="V58" s="38">
        <f>'Допущения'!V$108*'Допущения'!$C$62+'Допущения'!V$109*'Допущения'!$C$66</f>
        <v/>
      </c>
      <c r="X58" s="38">
        <f>SUM(C58:F58)</f>
        <v/>
      </c>
      <c r="Y58" s="38">
        <f>SUM(G58:J58)</f>
        <v/>
      </c>
      <c r="Z58" s="38">
        <f>SUM(K58:N58)</f>
        <v/>
      </c>
      <c r="AA58" s="38">
        <f>SUM(O58:R58)</f>
        <v/>
      </c>
      <c r="AB58" s="38">
        <f>SUM(S58:V58)</f>
        <v/>
      </c>
      <c r="AC58" s="39">
        <f>SUM(C58:V58)</f>
        <v/>
      </c>
    </row>
    <row r="59">
      <c r="A59" s="28" t="inlineStr">
        <is>
          <t>Этап 2: доработка и поддержка для клиентов 23+</t>
        </is>
      </c>
      <c r="B59" s="28" t="inlineStr">
        <is>
          <t>млн ₽</t>
        </is>
      </c>
      <c r="C59" s="38">
        <f>'Допущения'!C$107*'Допущения'!$C$48</f>
        <v/>
      </c>
      <c r="D59" s="38">
        <f>'Допущения'!D$107*'Допущения'!$C$48</f>
        <v/>
      </c>
      <c r="E59" s="38">
        <f>'Допущения'!E$107*'Допущения'!$C$48</f>
        <v/>
      </c>
      <c r="F59" s="38">
        <f>'Допущения'!F$107*'Допущения'!$C$48</f>
        <v/>
      </c>
      <c r="G59" s="38">
        <f>'Допущения'!G$107*'Допущения'!$C$48</f>
        <v/>
      </c>
      <c r="H59" s="38">
        <f>'Допущения'!H$107*'Допущения'!$C$48</f>
        <v/>
      </c>
      <c r="I59" s="38">
        <f>'Допущения'!I$107*'Допущения'!$C$48</f>
        <v/>
      </c>
      <c r="J59" s="38">
        <f>'Допущения'!J$107*'Допущения'!$C$48</f>
        <v/>
      </c>
      <c r="K59" s="38">
        <f>'Допущения'!K$107*'Допущения'!$C$48</f>
        <v/>
      </c>
      <c r="L59" s="38">
        <f>'Допущения'!L$107*'Допущения'!$C$48</f>
        <v/>
      </c>
      <c r="M59" s="38">
        <f>'Допущения'!M$107*'Допущения'!$C$48</f>
        <v/>
      </c>
      <c r="N59" s="38">
        <f>'Допущения'!N$107*'Допущения'!$C$48</f>
        <v/>
      </c>
      <c r="O59" s="38">
        <f>'Допущения'!O$107*'Допущения'!$C$48</f>
        <v/>
      </c>
      <c r="P59" s="38">
        <f>'Допущения'!P$107*'Допущения'!$C$48</f>
        <v/>
      </c>
      <c r="Q59" s="38">
        <f>'Допущения'!Q$107*'Допущения'!$C$48</f>
        <v/>
      </c>
      <c r="R59" s="38">
        <f>'Допущения'!R$107*'Допущения'!$C$48</f>
        <v/>
      </c>
      <c r="S59" s="38">
        <f>'Допущения'!S$107*'Допущения'!$C$48</f>
        <v/>
      </c>
      <c r="T59" s="38">
        <f>'Допущения'!T$107*'Допущения'!$C$48</f>
        <v/>
      </c>
      <c r="U59" s="38">
        <f>'Допущения'!U$107*'Допущения'!$C$48</f>
        <v/>
      </c>
      <c r="V59" s="38">
        <f>'Допущения'!V$107*'Допущения'!$C$48</f>
        <v/>
      </c>
      <c r="X59" s="38">
        <f>SUM(C59:F59)</f>
        <v/>
      </c>
      <c r="Y59" s="38">
        <f>SUM(G59:J59)</f>
        <v/>
      </c>
      <c r="Z59" s="38">
        <f>SUM(K59:N59)</f>
        <v/>
      </c>
      <c r="AA59" s="38">
        <f>SUM(O59:R59)</f>
        <v/>
      </c>
      <c r="AB59" s="38">
        <f>SUM(S59:V59)</f>
        <v/>
      </c>
      <c r="AC59" s="39">
        <f>SUM(C59:V59)</f>
        <v/>
      </c>
    </row>
    <row r="60">
      <c r="A60" s="28" t="inlineStr">
        <is>
          <t>Вознаграждения пользователям</t>
        </is>
      </c>
      <c r="B60" s="28" t="inlineStr">
        <is>
          <t>млн ₽</t>
        </is>
      </c>
      <c r="C60" s="38">
        <f>C31*1000*'Допущения'!$C$78/4/1000000</f>
        <v/>
      </c>
      <c r="D60" s="38">
        <f>D31*1000*'Допущения'!$C$78/4/1000000</f>
        <v/>
      </c>
      <c r="E60" s="38">
        <f>E31*1000*'Допущения'!$C$78/4/1000000</f>
        <v/>
      </c>
      <c r="F60" s="38">
        <f>F31*1000*'Допущения'!$C$78/4/1000000</f>
        <v/>
      </c>
      <c r="G60" s="38">
        <f>G31*1000*'Допущения'!$C$78/4/1000000</f>
        <v/>
      </c>
      <c r="H60" s="38">
        <f>H31*1000*'Допущения'!$C$78/4/1000000</f>
        <v/>
      </c>
      <c r="I60" s="38">
        <f>I31*1000*'Допущения'!$C$78/4/1000000</f>
        <v/>
      </c>
      <c r="J60" s="38">
        <f>J31*1000*'Допущения'!$C$78/4/1000000</f>
        <v/>
      </c>
      <c r="K60" s="38">
        <f>K31*1000*'Допущения'!$C$78/4/1000000</f>
        <v/>
      </c>
      <c r="L60" s="38">
        <f>L31*1000*'Допущения'!$C$78/4/1000000</f>
        <v/>
      </c>
      <c r="M60" s="38">
        <f>M31*1000*'Допущения'!$C$78/4/1000000</f>
        <v/>
      </c>
      <c r="N60" s="38">
        <f>N31*1000*'Допущения'!$C$78/4/1000000</f>
        <v/>
      </c>
      <c r="O60" s="38">
        <f>O31*1000*'Допущения'!$C$78/4/1000000</f>
        <v/>
      </c>
      <c r="P60" s="38">
        <f>P31*1000*'Допущения'!$C$78/4/1000000</f>
        <v/>
      </c>
      <c r="Q60" s="38">
        <f>Q31*1000*'Допущения'!$C$78/4/1000000</f>
        <v/>
      </c>
      <c r="R60" s="38">
        <f>R31*1000*'Допущения'!$C$78/4/1000000</f>
        <v/>
      </c>
      <c r="S60" s="38">
        <f>S31*1000*'Допущения'!$C$78/4/1000000</f>
        <v/>
      </c>
      <c r="T60" s="38">
        <f>T31*1000*'Допущения'!$C$78/4/1000000</f>
        <v/>
      </c>
      <c r="U60" s="38">
        <f>U31*1000*'Допущения'!$C$78/4/1000000</f>
        <v/>
      </c>
      <c r="V60" s="38">
        <f>V31*1000*'Допущения'!$C$78/4/1000000</f>
        <v/>
      </c>
      <c r="X60" s="38">
        <f>SUM(C60:F60)</f>
        <v/>
      </c>
      <c r="Y60" s="38">
        <f>SUM(G60:J60)</f>
        <v/>
      </c>
      <c r="Z60" s="38">
        <f>SUM(K60:N60)</f>
        <v/>
      </c>
      <c r="AA60" s="38">
        <f>SUM(O60:R60)</f>
        <v/>
      </c>
      <c r="AB60" s="38">
        <f>SUM(S60:V60)</f>
        <v/>
      </c>
      <c r="AC60" s="39">
        <f>SUM(C60:V60)</f>
        <v/>
      </c>
    </row>
    <row r="61">
      <c r="A61" s="28" t="inlineStr">
        <is>
          <t>Резерв на непредвиденное</t>
        </is>
      </c>
      <c r="B61" s="28" t="inlineStr">
        <is>
          <t>млн ₽</t>
        </is>
      </c>
      <c r="C61" s="38">
        <f>(C55+C56+C57+C58+C59+C60)*'Допущения'!$C$79</f>
        <v/>
      </c>
      <c r="D61" s="38">
        <f>(D55+D56+D57+D58+D59+D60)*'Допущения'!$C$79</f>
        <v/>
      </c>
      <c r="E61" s="38">
        <f>(E55+E56+E57+E58+E59+E60)*'Допущения'!$C$79</f>
        <v/>
      </c>
      <c r="F61" s="38">
        <f>(F55+F56+F57+F58+F59+F60)*'Допущения'!$C$79</f>
        <v/>
      </c>
      <c r="G61" s="38">
        <f>(G55+G56+G57+G58+G59+G60)*'Допущения'!$C$79</f>
        <v/>
      </c>
      <c r="H61" s="38">
        <f>(H55+H56+H57+H58+H59+H60)*'Допущения'!$C$79</f>
        <v/>
      </c>
      <c r="I61" s="38">
        <f>(I55+I56+I57+I58+I59+I60)*'Допущения'!$C$79</f>
        <v/>
      </c>
      <c r="J61" s="38">
        <f>(J55+J56+J57+J58+J59+J60)*'Допущения'!$C$79</f>
        <v/>
      </c>
      <c r="K61" s="38">
        <f>(K55+K56+K57+K58+K59+K60)*'Допущения'!$C$79</f>
        <v/>
      </c>
      <c r="L61" s="38">
        <f>(L55+L56+L57+L58+L59+L60)*'Допущения'!$C$79</f>
        <v/>
      </c>
      <c r="M61" s="38">
        <f>(M55+M56+M57+M58+M59+M60)*'Допущения'!$C$79</f>
        <v/>
      </c>
      <c r="N61" s="38">
        <f>(N55+N56+N57+N58+N59+N60)*'Допущения'!$C$79</f>
        <v/>
      </c>
      <c r="O61" s="38">
        <f>(O55+O56+O57+O58+O59+O60)*'Допущения'!$C$79</f>
        <v/>
      </c>
      <c r="P61" s="38">
        <f>(P55+P56+P57+P58+P59+P60)*'Допущения'!$C$79</f>
        <v/>
      </c>
      <c r="Q61" s="38">
        <f>(Q55+Q56+Q57+Q58+Q59+Q60)*'Допущения'!$C$79</f>
        <v/>
      </c>
      <c r="R61" s="38">
        <f>(R55+R56+R57+R58+R59+R60)*'Допущения'!$C$79</f>
        <v/>
      </c>
      <c r="S61" s="38">
        <f>(S55+S56+S57+S58+S59+S60)*'Допущения'!$C$79</f>
        <v/>
      </c>
      <c r="T61" s="38">
        <f>(T55+T56+T57+T58+T59+T60)*'Допущения'!$C$79</f>
        <v/>
      </c>
      <c r="U61" s="38">
        <f>(U55+U56+U57+U58+U59+U60)*'Допущения'!$C$79</f>
        <v/>
      </c>
      <c r="V61" s="38">
        <f>(V55+V56+V57+V58+V59+V60)*'Допущения'!$C$79</f>
        <v/>
      </c>
      <c r="X61" s="38">
        <f>SUM(C61:F61)</f>
        <v/>
      </c>
      <c r="Y61" s="38">
        <f>SUM(G61:J61)</f>
        <v/>
      </c>
      <c r="Z61" s="38">
        <f>SUM(K61:N61)</f>
        <v/>
      </c>
      <c r="AA61" s="38">
        <f>SUM(O61:R61)</f>
        <v/>
      </c>
      <c r="AB61" s="38">
        <f>SUM(S61:V61)</f>
        <v/>
      </c>
      <c r="AC61" s="39">
        <f>SUM(C61:V61)</f>
        <v/>
      </c>
    </row>
    <row r="62">
      <c r="A62" s="40" t="inlineStr">
        <is>
          <t>ИТОГО ЗАТРАТЫ (с учётом перерасхода)</t>
        </is>
      </c>
      <c r="B62" s="41" t="inlineStr">
        <is>
          <t>млн ₽</t>
        </is>
      </c>
      <c r="C62" s="42">
        <f>(C55+C56+C57+C58+C59+C60+C61)*'Допущения'!$C$80</f>
        <v/>
      </c>
      <c r="D62" s="42">
        <f>(D55+D56+D57+D58+D59+D60+D61)*'Допущения'!$C$80</f>
        <v/>
      </c>
      <c r="E62" s="42">
        <f>(E55+E56+E57+E58+E59+E60+E61)*'Допущения'!$C$80</f>
        <v/>
      </c>
      <c r="F62" s="42">
        <f>(F55+F56+F57+F58+F59+F60+F61)*'Допущения'!$C$80</f>
        <v/>
      </c>
      <c r="G62" s="42">
        <f>(G55+G56+G57+G58+G59+G60+G61)*'Допущения'!$C$80</f>
        <v/>
      </c>
      <c r="H62" s="42">
        <f>(H55+H56+H57+H58+H59+H60+H61)*'Допущения'!$C$80</f>
        <v/>
      </c>
      <c r="I62" s="42">
        <f>(I55+I56+I57+I58+I59+I60+I61)*'Допущения'!$C$80</f>
        <v/>
      </c>
      <c r="J62" s="42">
        <f>(J55+J56+J57+J58+J59+J60+J61)*'Допущения'!$C$80</f>
        <v/>
      </c>
      <c r="K62" s="42">
        <f>(K55+K56+K57+K58+K59+K60+K61)*'Допущения'!$C$80</f>
        <v/>
      </c>
      <c r="L62" s="42">
        <f>(L55+L56+L57+L58+L59+L60+L61)*'Допущения'!$C$80</f>
        <v/>
      </c>
      <c r="M62" s="42">
        <f>(M55+M56+M57+M58+M59+M60+M61)*'Допущения'!$C$80</f>
        <v/>
      </c>
      <c r="N62" s="42">
        <f>(N55+N56+N57+N58+N59+N60+N61)*'Допущения'!$C$80</f>
        <v/>
      </c>
      <c r="O62" s="42">
        <f>(O55+O56+O57+O58+O59+O60+O61)*'Допущения'!$C$80</f>
        <v/>
      </c>
      <c r="P62" s="42">
        <f>(P55+P56+P57+P58+P59+P60+P61)*'Допущения'!$C$80</f>
        <v/>
      </c>
      <c r="Q62" s="42">
        <f>(Q55+Q56+Q57+Q58+Q59+Q60+Q61)*'Допущения'!$C$80</f>
        <v/>
      </c>
      <c r="R62" s="42">
        <f>(R55+R56+R57+R58+R59+R60+R61)*'Допущения'!$C$80</f>
        <v/>
      </c>
      <c r="S62" s="42">
        <f>(S55+S56+S57+S58+S59+S60+S61)*'Допущения'!$C$80</f>
        <v/>
      </c>
      <c r="T62" s="42">
        <f>(T55+T56+T57+T58+T59+T60+T61)*'Допущения'!$C$80</f>
        <v/>
      </c>
      <c r="U62" s="42">
        <f>(U55+U56+U57+U58+U59+U60+U61)*'Допущения'!$C$80</f>
        <v/>
      </c>
      <c r="V62" s="42">
        <f>(V55+V56+V57+V58+V59+V60+V61)*'Допущения'!$C$80</f>
        <v/>
      </c>
      <c r="X62" s="42">
        <f>SUM(C62:F62)</f>
        <v/>
      </c>
      <c r="Y62" s="42">
        <f>SUM(G62:J62)</f>
        <v/>
      </c>
      <c r="Z62" s="42">
        <f>SUM(K62:N62)</f>
        <v/>
      </c>
      <c r="AA62" s="42">
        <f>SUM(O62:R62)</f>
        <v/>
      </c>
      <c r="AB62" s="42">
        <f>SUM(S62:V62)</f>
        <v/>
      </c>
      <c r="AC62" s="42">
        <f>SUM(C62:V62)</f>
        <v/>
      </c>
    </row>
    <row r="63">
      <c r="A63" s="4" t="inlineStr">
        <is>
          <t>Денежный поток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13" t="inlineStr">
        <is>
          <t>Чистый денежный поток</t>
        </is>
      </c>
      <c r="B64" s="28" t="inlineStr">
        <is>
          <t>млн ₽</t>
        </is>
      </c>
      <c r="C64" s="39">
        <f>C53-C62</f>
        <v/>
      </c>
      <c r="D64" s="39">
        <f>D53-D62</f>
        <v/>
      </c>
      <c r="E64" s="39">
        <f>E53-E62</f>
        <v/>
      </c>
      <c r="F64" s="39">
        <f>F53-F62</f>
        <v/>
      </c>
      <c r="G64" s="39">
        <f>G53-G62</f>
        <v/>
      </c>
      <c r="H64" s="39">
        <f>H53-H62</f>
        <v/>
      </c>
      <c r="I64" s="39">
        <f>I53-I62</f>
        <v/>
      </c>
      <c r="J64" s="39">
        <f>J53-J62</f>
        <v/>
      </c>
      <c r="K64" s="39">
        <f>K53-K62</f>
        <v/>
      </c>
      <c r="L64" s="39">
        <f>L53-L62</f>
        <v/>
      </c>
      <c r="M64" s="39">
        <f>M53-M62</f>
        <v/>
      </c>
      <c r="N64" s="39">
        <f>N53-N62</f>
        <v/>
      </c>
      <c r="O64" s="39">
        <f>O53-O62</f>
        <v/>
      </c>
      <c r="P64" s="39">
        <f>P53-P62</f>
        <v/>
      </c>
      <c r="Q64" s="39">
        <f>Q53-Q62</f>
        <v/>
      </c>
      <c r="R64" s="39">
        <f>R53-R62</f>
        <v/>
      </c>
      <c r="S64" s="39">
        <f>S53-S62</f>
        <v/>
      </c>
      <c r="T64" s="39">
        <f>T53-T62</f>
        <v/>
      </c>
      <c r="U64" s="39">
        <f>U53-U62</f>
        <v/>
      </c>
      <c r="V64" s="39">
        <f>V53-V62</f>
        <v/>
      </c>
      <c r="X64" s="39">
        <f>SUM(C64:F64)</f>
        <v/>
      </c>
      <c r="Y64" s="39">
        <f>SUM(G64:J64)</f>
        <v/>
      </c>
      <c r="Z64" s="39">
        <f>SUM(K64:N64)</f>
        <v/>
      </c>
      <c r="AA64" s="39">
        <f>SUM(O64:R64)</f>
        <v/>
      </c>
      <c r="AB64" s="39">
        <f>SUM(S64:V64)</f>
        <v/>
      </c>
      <c r="AC64" s="39">
        <f>SUM(C64:V64)</f>
        <v/>
      </c>
    </row>
    <row r="65">
      <c r="A65" s="28" t="inlineStr">
        <is>
          <t>Накопленный денежный поток</t>
        </is>
      </c>
      <c r="B65" s="28" t="inlineStr">
        <is>
          <t>млн ₽</t>
        </is>
      </c>
      <c r="C65" s="38">
        <f>C64</f>
        <v/>
      </c>
      <c r="D65" s="38">
        <f>C65+D64</f>
        <v/>
      </c>
      <c r="E65" s="38">
        <f>D65+E64</f>
        <v/>
      </c>
      <c r="F65" s="38">
        <f>E65+F64</f>
        <v/>
      </c>
      <c r="G65" s="38">
        <f>F65+G64</f>
        <v/>
      </c>
      <c r="H65" s="38">
        <f>G65+H64</f>
        <v/>
      </c>
      <c r="I65" s="38">
        <f>H65+I64</f>
        <v/>
      </c>
      <c r="J65" s="38">
        <f>I65+J64</f>
        <v/>
      </c>
      <c r="K65" s="38">
        <f>J65+K64</f>
        <v/>
      </c>
      <c r="L65" s="38">
        <f>K65+L64</f>
        <v/>
      </c>
      <c r="M65" s="38">
        <f>L65+M64</f>
        <v/>
      </c>
      <c r="N65" s="38">
        <f>M65+N64</f>
        <v/>
      </c>
      <c r="O65" s="38">
        <f>N65+O64</f>
        <v/>
      </c>
      <c r="P65" s="38">
        <f>O65+P64</f>
        <v/>
      </c>
      <c r="Q65" s="38">
        <f>P65+Q64</f>
        <v/>
      </c>
      <c r="R65" s="38">
        <f>Q65+R64</f>
        <v/>
      </c>
      <c r="S65" s="38">
        <f>R65+S64</f>
        <v/>
      </c>
      <c r="T65" s="38">
        <f>S65+T64</f>
        <v/>
      </c>
      <c r="U65" s="38">
        <f>T65+U64</f>
        <v/>
      </c>
      <c r="V65" s="38">
        <f>U65+V64</f>
        <v/>
      </c>
      <c r="X65" s="38">
        <f>F65</f>
        <v/>
      </c>
      <c r="Y65" s="38">
        <f>J65</f>
        <v/>
      </c>
      <c r="Z65" s="38">
        <f>N65</f>
        <v/>
      </c>
      <c r="AA65" s="38">
        <f>R65</f>
        <v/>
      </c>
      <c r="AB65" s="38">
        <f>V65</f>
        <v/>
      </c>
      <c r="AC65" s="39">
        <f>V65</f>
        <v/>
      </c>
    </row>
    <row r="66">
      <c r="A66" s="28" t="inlineStr">
        <is>
          <t>Коэффициент дисконтирования</t>
        </is>
      </c>
      <c r="B66" s="28" t="inlineStr">
        <is>
          <t>x</t>
        </is>
      </c>
      <c r="C66" s="32">
        <f>1/(1+$C$16)^C24</f>
        <v/>
      </c>
      <c r="D66" s="32">
        <f>1/(1+$C$16)^D24</f>
        <v/>
      </c>
      <c r="E66" s="32">
        <f>1/(1+$C$16)^E24</f>
        <v/>
      </c>
      <c r="F66" s="32">
        <f>1/(1+$C$16)^F24</f>
        <v/>
      </c>
      <c r="G66" s="32">
        <f>1/(1+$C$16)^G24</f>
        <v/>
      </c>
      <c r="H66" s="32">
        <f>1/(1+$C$16)^H24</f>
        <v/>
      </c>
      <c r="I66" s="32">
        <f>1/(1+$C$16)^I24</f>
        <v/>
      </c>
      <c r="J66" s="32">
        <f>1/(1+$C$16)^J24</f>
        <v/>
      </c>
      <c r="K66" s="32">
        <f>1/(1+$C$16)^K24</f>
        <v/>
      </c>
      <c r="L66" s="32">
        <f>1/(1+$C$16)^L24</f>
        <v/>
      </c>
      <c r="M66" s="32">
        <f>1/(1+$C$16)^M24</f>
        <v/>
      </c>
      <c r="N66" s="32">
        <f>1/(1+$C$16)^N24</f>
        <v/>
      </c>
      <c r="O66" s="32">
        <f>1/(1+$C$16)^O24</f>
        <v/>
      </c>
      <c r="P66" s="32">
        <f>1/(1+$C$16)^P24</f>
        <v/>
      </c>
      <c r="Q66" s="32">
        <f>1/(1+$C$16)^Q24</f>
        <v/>
      </c>
      <c r="R66" s="32">
        <f>1/(1+$C$16)^R24</f>
        <v/>
      </c>
      <c r="S66" s="32">
        <f>1/(1+$C$16)^S24</f>
        <v/>
      </c>
      <c r="T66" s="32">
        <f>1/(1+$C$16)^T24</f>
        <v/>
      </c>
      <c r="U66" s="32">
        <f>1/(1+$C$16)^U24</f>
        <v/>
      </c>
      <c r="V66" s="32">
        <f>1/(1+$C$16)^V24</f>
        <v/>
      </c>
    </row>
    <row r="67">
      <c r="A67" s="28" t="inlineStr">
        <is>
          <t>Дисконтированный поток</t>
        </is>
      </c>
      <c r="B67" s="28" t="inlineStr">
        <is>
          <t>млн ₽</t>
        </is>
      </c>
      <c r="C67" s="38">
        <f>C64*C66</f>
        <v/>
      </c>
      <c r="D67" s="38">
        <f>D64*D66</f>
        <v/>
      </c>
      <c r="E67" s="38">
        <f>E64*E66</f>
        <v/>
      </c>
      <c r="F67" s="38">
        <f>F64*F66</f>
        <v/>
      </c>
      <c r="G67" s="38">
        <f>G64*G66</f>
        <v/>
      </c>
      <c r="H67" s="38">
        <f>H64*H66</f>
        <v/>
      </c>
      <c r="I67" s="38">
        <f>I64*I66</f>
        <v/>
      </c>
      <c r="J67" s="38">
        <f>J64*J66</f>
        <v/>
      </c>
      <c r="K67" s="38">
        <f>K64*K66</f>
        <v/>
      </c>
      <c r="L67" s="38">
        <f>L64*L66</f>
        <v/>
      </c>
      <c r="M67" s="38">
        <f>M64*M66</f>
        <v/>
      </c>
      <c r="N67" s="38">
        <f>N64*N66</f>
        <v/>
      </c>
      <c r="O67" s="38">
        <f>O64*O66</f>
        <v/>
      </c>
      <c r="P67" s="38">
        <f>P64*P66</f>
        <v/>
      </c>
      <c r="Q67" s="38">
        <f>Q64*Q66</f>
        <v/>
      </c>
      <c r="R67" s="38">
        <f>R64*R66</f>
        <v/>
      </c>
      <c r="S67" s="38">
        <f>S64*S66</f>
        <v/>
      </c>
      <c r="T67" s="38">
        <f>T64*T66</f>
        <v/>
      </c>
      <c r="U67" s="38">
        <f>U64*U66</f>
        <v/>
      </c>
      <c r="V67" s="38">
        <f>V64*V66</f>
        <v/>
      </c>
      <c r="X67" s="38">
        <f>SUM(C67:F67)</f>
        <v/>
      </c>
      <c r="Y67" s="38">
        <f>SUM(G67:J67)</f>
        <v/>
      </c>
      <c r="Z67" s="38">
        <f>SUM(K67:N67)</f>
        <v/>
      </c>
      <c r="AA67" s="38">
        <f>SUM(O67:R67)</f>
        <v/>
      </c>
      <c r="AB67" s="38">
        <f>SUM(S67:V67)</f>
        <v/>
      </c>
      <c r="AC67" s="39">
        <f>SUM(C67:V67)</f>
        <v/>
      </c>
    </row>
    <row r="68">
      <c r="A68" s="28" t="inlineStr">
        <is>
          <t>Служебная: номер квартала, если накопленный поток ≥ 0</t>
        </is>
      </c>
      <c r="B68" s="28" t="inlineStr">
        <is>
          <t>№</t>
        </is>
      </c>
      <c r="C68" s="34">
        <f>IF(C65&gt;=0,C24,99)</f>
        <v/>
      </c>
      <c r="D68" s="34">
        <f>IF(D65&gt;=0,D24,99)</f>
        <v/>
      </c>
      <c r="E68" s="34">
        <f>IF(E65&gt;=0,E24,99)</f>
        <v/>
      </c>
      <c r="F68" s="34">
        <f>IF(F65&gt;=0,F24,99)</f>
        <v/>
      </c>
      <c r="G68" s="34">
        <f>IF(G65&gt;=0,G24,99)</f>
        <v/>
      </c>
      <c r="H68" s="34">
        <f>IF(H65&gt;=0,H24,99)</f>
        <v/>
      </c>
      <c r="I68" s="34">
        <f>IF(I65&gt;=0,I24,99)</f>
        <v/>
      </c>
      <c r="J68" s="34">
        <f>IF(J65&gt;=0,J24,99)</f>
        <v/>
      </c>
      <c r="K68" s="34">
        <f>IF(K65&gt;=0,K24,99)</f>
        <v/>
      </c>
      <c r="L68" s="34">
        <f>IF(L65&gt;=0,L24,99)</f>
        <v/>
      </c>
      <c r="M68" s="34">
        <f>IF(M65&gt;=0,M24,99)</f>
        <v/>
      </c>
      <c r="N68" s="34">
        <f>IF(N65&gt;=0,N24,99)</f>
        <v/>
      </c>
      <c r="O68" s="34">
        <f>IF(O65&gt;=0,O24,99)</f>
        <v/>
      </c>
      <c r="P68" s="34">
        <f>IF(P65&gt;=0,P24,99)</f>
        <v/>
      </c>
      <c r="Q68" s="34">
        <f>IF(Q65&gt;=0,Q24,99)</f>
        <v/>
      </c>
      <c r="R68" s="34">
        <f>IF(R65&gt;=0,R24,99)</f>
        <v/>
      </c>
      <c r="S68" s="34">
        <f>IF(S65&gt;=0,S24,99)</f>
        <v/>
      </c>
      <c r="T68" s="34">
        <f>IF(T65&gt;=0,T24,99)</f>
        <v/>
      </c>
      <c r="U68" s="34">
        <f>IF(U65&gt;=0,U24,99)</f>
        <v/>
      </c>
      <c r="V68" s="34">
        <f>IF(V65&gt;=0,V24,99)</f>
        <v/>
      </c>
    </row>
    <row r="69">
      <c r="A69" s="28" t="inlineStr">
        <is>
          <t>Поток ядра продукта: без этапа 2, моста и «Пушкинской карты»</t>
        </is>
      </c>
      <c r="B69" s="28" t="inlineStr">
        <is>
          <t>млн ₽</t>
        </is>
      </c>
      <c r="C69" s="38">
        <f>(C53-C50-C52-C45-C47)-(C55+C56+C57+C60)*(1+'Допущения'!$C$79)*'Допущения'!$C$80</f>
        <v/>
      </c>
      <c r="D69" s="38">
        <f>(D53-D50-D52-D45-D47)-(D55+D56+D57+D60)*(1+'Допущения'!$C$79)*'Допущения'!$C$80</f>
        <v/>
      </c>
      <c r="E69" s="38">
        <f>(E53-E50-E52-E45-E47)-(E55+E56+E57+E60)*(1+'Допущения'!$C$79)*'Допущения'!$C$80</f>
        <v/>
      </c>
      <c r="F69" s="38">
        <f>(F53-F50-F52-F45-F47)-(F55+F56+F57+F60)*(1+'Допущения'!$C$79)*'Допущения'!$C$80</f>
        <v/>
      </c>
      <c r="G69" s="38">
        <f>(G53-G50-G52-G45-G47)-(G55+G56+G57+G60)*(1+'Допущения'!$C$79)*'Допущения'!$C$80</f>
        <v/>
      </c>
      <c r="H69" s="38">
        <f>(H53-H50-H52-H45-H47)-(H55+H56+H57+H60)*(1+'Допущения'!$C$79)*'Допущения'!$C$80</f>
        <v/>
      </c>
      <c r="I69" s="38">
        <f>(I53-I50-I52-I45-I47)-(I55+I56+I57+I60)*(1+'Допущения'!$C$79)*'Допущения'!$C$80</f>
        <v/>
      </c>
      <c r="J69" s="38">
        <f>(J53-J50-J52-J45-J47)-(J55+J56+J57+J60)*(1+'Допущения'!$C$79)*'Допущения'!$C$80</f>
        <v/>
      </c>
      <c r="K69" s="38">
        <f>(K53-K50-K52-K45-K47)-(K55+K56+K57+K60)*(1+'Допущения'!$C$79)*'Допущения'!$C$80</f>
        <v/>
      </c>
      <c r="L69" s="38">
        <f>(L53-L50-L52-L45-L47)-(L55+L56+L57+L60)*(1+'Допущения'!$C$79)*'Допущения'!$C$80</f>
        <v/>
      </c>
      <c r="M69" s="38">
        <f>(M53-M50-M52-M45-M47)-(M55+M56+M57+M60)*(1+'Допущения'!$C$79)*'Допущения'!$C$80</f>
        <v/>
      </c>
      <c r="N69" s="38">
        <f>(N53-N50-N52-N45-N47)-(N55+N56+N57+N60)*(1+'Допущения'!$C$79)*'Допущения'!$C$80</f>
        <v/>
      </c>
      <c r="O69" s="38">
        <f>(O53-O50-O52-O45-O47)-(O55+O56+O57+O60)*(1+'Допущения'!$C$79)*'Допущения'!$C$80</f>
        <v/>
      </c>
      <c r="P69" s="38">
        <f>(P53-P50-P52-P45-P47)-(P55+P56+P57+P60)*(1+'Допущения'!$C$79)*'Допущения'!$C$80</f>
        <v/>
      </c>
      <c r="Q69" s="38">
        <f>(Q53-Q50-Q52-Q45-Q47)-(Q55+Q56+Q57+Q60)*(1+'Допущения'!$C$79)*'Допущения'!$C$80</f>
        <v/>
      </c>
      <c r="R69" s="38">
        <f>(R53-R50-R52-R45-R47)-(R55+R56+R57+R60)*(1+'Допущения'!$C$79)*'Допущения'!$C$80</f>
        <v/>
      </c>
      <c r="S69" s="38">
        <f>(S53-S50-S52-S45-S47)-(S55+S56+S57+S60)*(1+'Допущения'!$C$79)*'Допущения'!$C$80</f>
        <v/>
      </c>
      <c r="T69" s="38">
        <f>(T53-T50-T52-T45-T47)-(T55+T56+T57+T60)*(1+'Допущения'!$C$79)*'Допущения'!$C$80</f>
        <v/>
      </c>
      <c r="U69" s="38">
        <f>(U53-U50-U52-U45-U47)-(U55+U56+U57+U60)*(1+'Допущения'!$C$79)*'Допущения'!$C$80</f>
        <v/>
      </c>
      <c r="V69" s="38">
        <f>(V53-V50-V52-V45-V47)-(V55+V56+V57+V60)*(1+'Допущения'!$C$79)*'Допущения'!$C$80</f>
        <v/>
      </c>
      <c r="X69" s="38">
        <f>SUM(C69:F69)</f>
        <v/>
      </c>
      <c r="Y69" s="38">
        <f>SUM(G69:J69)</f>
        <v/>
      </c>
      <c r="Z69" s="38">
        <f>SUM(K69:N69)</f>
        <v/>
      </c>
      <c r="AA69" s="38">
        <f>SUM(O69:R69)</f>
        <v/>
      </c>
      <c r="AB69" s="38">
        <f>SUM(S69:V69)</f>
        <v/>
      </c>
      <c r="AC69" s="39">
        <f>SUM(C69:V69)</f>
        <v/>
      </c>
    </row>
    <row r="70">
      <c r="A70" s="4" t="inlineStr">
        <is>
          <t>Итоговые показатели сценария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28" t="inlineStr">
        <is>
          <t>NPV за 5 лет (2027–2031)</t>
        </is>
      </c>
      <c r="B71" s="28" t="inlineStr">
        <is>
          <t>млн ₽</t>
        </is>
      </c>
      <c r="C71" s="43">
        <f>SUM(C67:V67)</f>
        <v/>
      </c>
    </row>
    <row r="72">
      <c r="A72" s="28" t="inlineStr">
        <is>
          <t>NPV за 5 лет только ядра продукта (без этапа 2, моста и «Пушкинской карты»)</t>
        </is>
      </c>
      <c r="B72" s="28" t="inlineStr">
        <is>
          <t>млн ₽</t>
        </is>
      </c>
      <c r="C72" s="43">
        <f>SUMPRODUCT(C69:V69,C66:V66)</f>
        <v/>
      </c>
    </row>
    <row r="73">
      <c r="A73" s="28" t="inlineStr">
        <is>
          <t>NPV за первые 3 года (2027–2029), справочно</t>
        </is>
      </c>
      <c r="B73" s="28" t="inlineStr">
        <is>
          <t>млн ₽</t>
        </is>
      </c>
      <c r="C73" s="38">
        <f>SUM(C67:N67)</f>
        <v/>
      </c>
    </row>
    <row r="74">
      <c r="A74" s="28" t="inlineStr">
        <is>
          <t>Суммарный эффект за 5 лет</t>
        </is>
      </c>
      <c r="B74" s="28" t="inlineStr">
        <is>
          <t>млн ₽</t>
        </is>
      </c>
      <c r="C74" s="38">
        <f>AC53</f>
        <v/>
      </c>
    </row>
    <row r="75">
      <c r="A75" s="28" t="inlineStr">
        <is>
          <t>Суммарные затраты за 5 лет</t>
        </is>
      </c>
      <c r="B75" s="28" t="inlineStr">
        <is>
          <t>млн ₽</t>
        </is>
      </c>
      <c r="C75" s="38">
        <f>AC62</f>
        <v/>
      </c>
    </row>
    <row r="76">
      <c r="A76" s="28" t="inlineStr">
        <is>
          <t>ROI за 5 лет</t>
        </is>
      </c>
      <c r="B76" s="28" t="inlineStr">
        <is>
          <t>доля</t>
        </is>
      </c>
      <c r="C76" s="35">
        <f>IF(C75&gt;0,(C74-C75)/C75,0)</f>
        <v/>
      </c>
    </row>
    <row r="77">
      <c r="A77" s="28" t="inlineStr">
        <is>
          <t>Инвестиции до полного запуска (разработка + пилот)</t>
        </is>
      </c>
      <c r="B77" s="28" t="inlineStr">
        <is>
          <t>млн ₽</t>
        </is>
      </c>
      <c r="C77" s="38">
        <f>SUMPRODUCT(C62:V62,C25:V25)</f>
        <v/>
      </c>
    </row>
    <row r="78">
      <c r="A78" s="28" t="inlineStr">
        <is>
          <t>Квартал окупаемости (99 — не окупается за 5 лет)</t>
        </is>
      </c>
      <c r="B78" s="28" t="inlineStr">
        <is>
          <t>№</t>
        </is>
      </c>
      <c r="C78" s="34">
        <f>MIN(C68:V68)</f>
        <v/>
      </c>
    </row>
    <row r="79">
      <c r="A79" s="28" t="inlineStr">
        <is>
          <t>Срок окупаемости от старта проекта</t>
        </is>
      </c>
      <c r="B79" s="28" t="inlineStr">
        <is>
          <t>мес.</t>
        </is>
      </c>
      <c r="C79" s="44">
        <f>IF(C78=99,"больше 60",IF(C78=1,0,(C78-1)*3+3*(-INDEX(C65:V65,C78-1))/INDEX(C64:V64,C78)))</f>
        <v/>
      </c>
    </row>
    <row r="80">
      <c r="A80" s="28" t="inlineStr">
        <is>
          <t>Срок окупаемости от полного запуска</t>
        </is>
      </c>
      <c r="B80" s="28" t="inlineStr">
        <is>
          <t>мес.</t>
        </is>
      </c>
      <c r="C80" s="45">
        <f>IF(C78=99,"больше 60",C79-('Допущения'!$C$75-1)*3)</f>
        <v/>
      </c>
    </row>
    <row r="81">
      <c r="A81" s="28" t="inlineStr">
        <is>
          <t>Годовые затраты в режиме эксплуатации (2031)</t>
        </is>
      </c>
      <c r="B81" s="28" t="inlineStr">
        <is>
          <t>млн ₽</t>
        </is>
      </c>
      <c r="C81" s="38">
        <f>AB62</f>
        <v/>
      </c>
    </row>
    <row r="82">
      <c r="A82" s="28" t="inlineStr">
        <is>
          <t>Годовой эффект (2031)</t>
        </is>
      </c>
      <c r="B82" s="28" t="inlineStr">
        <is>
          <t>млн ₽</t>
        </is>
      </c>
      <c r="C82" s="38">
        <f>AB53</f>
        <v/>
      </c>
    </row>
    <row r="83">
      <c r="A83" s="28" t="inlineStr">
        <is>
          <t>Операционный поток 2029 (эффект минус затраты)</t>
        </is>
      </c>
      <c r="B83" s="28" t="inlineStr">
        <is>
          <t>млн ₽</t>
        </is>
      </c>
      <c r="C83" s="38">
        <f>Z53-Z62</f>
        <v/>
      </c>
    </row>
    <row r="84">
      <c r="A84" s="28" t="inlineStr">
        <is>
          <t>Предотвращено дроп-кейсов молодёжи за 5 лет</t>
        </is>
      </c>
      <c r="B84" s="28" t="inlineStr">
        <is>
          <t>шт.</t>
        </is>
      </c>
      <c r="C84" s="29">
        <f>AC33</f>
        <v/>
      </c>
    </row>
    <row r="85">
      <c r="A85" s="28" t="inlineStr">
        <is>
          <t>Предотвращено дроп-кейсов 23+ за 5 лет</t>
        </is>
      </c>
      <c r="B85" s="28" t="inlineStr">
        <is>
          <t>шт.</t>
        </is>
      </c>
      <c r="C85" s="29">
        <f>AC49</f>
        <v/>
      </c>
    </row>
    <row r="86">
      <c r="A86" s="28" t="inlineStr">
        <is>
          <t>Социальный эффект: чужих денег не прошло через карты ВТБ (вне NPV)</t>
        </is>
      </c>
      <c r="B86" s="28" t="inlineStr">
        <is>
          <t>млн ₽</t>
        </is>
      </c>
      <c r="C86" s="38">
        <f>(C84+C85)*'Допущения'!$C$36/1000000</f>
        <v/>
      </c>
    </row>
    <row r="87">
      <c r="A87" s="28" t="inlineStr">
        <is>
          <t>MAU раздела на конец 2031</t>
        </is>
      </c>
      <c r="B87" s="28" t="inlineStr">
        <is>
          <t>тыс. чел.</t>
        </is>
      </c>
      <c r="C87" s="29">
        <f>V31</f>
        <v/>
      </c>
    </row>
    <row r="88">
      <c r="A88" s="28" t="inlineStr">
        <is>
          <t>Молодых клиентов сохранено, удержано и привлечено (на конец 2031)</t>
        </is>
      </c>
      <c r="B88" s="28" t="inlineStr">
        <is>
          <t>чел.</t>
        </is>
      </c>
      <c r="C88" s="29">
        <f>V35+V37+V39+V44+V46</f>
        <v/>
      </c>
    </row>
    <row r="89">
      <c r="A89" s="28" t="inlineStr">
        <is>
          <t>Стратегическая ценность этих клиентов после 23 лет (вне NPV)</t>
        </is>
      </c>
      <c r="B89" s="28" t="inlineStr">
        <is>
          <t>млн ₽</t>
        </is>
      </c>
      <c r="C89" s="38">
        <f>C88*C19/1000000</f>
        <v/>
      </c>
    </row>
    <row r="90">
      <c r="A90" s="28" t="inlineStr">
        <is>
          <t>Затраты на одного MAU в 2031</t>
        </is>
      </c>
      <c r="B90" s="28" t="inlineStr">
        <is>
          <t>₽/год</t>
        </is>
      </c>
      <c r="C90" s="29">
        <f>IF(V31&gt;0,AB62*1000000/(V31*1000),0)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AC90"/>
  <sheetViews>
    <sheetView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Расчёт: Базовый сценарий</t>
        </is>
      </c>
    </row>
    <row r="2">
      <c r="A2" s="2" t="inlineStr">
        <is>
          <t>Все значения — формулы от листа «Допущения» (колонка сценария). Деньги — млн ₽.</t>
        </is>
      </c>
    </row>
    <row r="3"/>
    <row r="4">
      <c r="A4" s="4" t="inlineStr">
        <is>
          <t>Аудитория и базовые величины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28" t="inlineStr">
        <is>
          <t>Молодёжь 14–17 лет в РФ</t>
        </is>
      </c>
      <c r="B5" s="28" t="inlineStr">
        <is>
          <t>тыс. чел.</t>
        </is>
      </c>
      <c r="C5" s="29">
        <f>'Допущения'!$D$8*'Допущения'!$D$9</f>
        <v/>
      </c>
    </row>
    <row r="6">
      <c r="A6" s="28" t="inlineStr">
        <is>
          <t>Молодёжь 18–22 лет в РФ</t>
        </is>
      </c>
      <c r="B6" s="28" t="inlineStr">
        <is>
          <t>тыс. чел.</t>
        </is>
      </c>
      <c r="C6" s="29">
        <f>'Допущения'!$D$7*'Допущения'!$D$9</f>
        <v/>
      </c>
    </row>
    <row r="7">
      <c r="A7" s="28" t="inlineStr">
        <is>
          <t>TAM: вся молодёжь 14–22</t>
        </is>
      </c>
      <c r="B7" s="28" t="inlineStr">
        <is>
          <t>тыс. чел.</t>
        </is>
      </c>
      <c r="C7" s="29">
        <f>C5+C6</f>
        <v/>
      </c>
    </row>
    <row r="8">
      <c r="A8" s="28" t="inlineStr">
        <is>
          <t>SAM: молодёжь 14–22 с банковской картой</t>
        </is>
      </c>
      <c r="B8" s="28" t="inlineStr">
        <is>
          <t>тыс. чел.</t>
        </is>
      </c>
      <c r="C8" s="29">
        <f>C5*'Допущения'!$D$10+C6*'Допущения'!$D$11</f>
        <v/>
      </c>
    </row>
    <row r="9">
      <c r="A9" s="28" t="inlineStr">
        <is>
          <t>SOM: клиенты ВТБ 14–22</t>
        </is>
      </c>
      <c r="B9" s="28" t="inlineStr">
        <is>
          <t>тыс. чел.</t>
        </is>
      </c>
      <c r="C9" s="30">
        <f>C5*'Допущения'!$D$10*'Допущения'!$D$12+C6*'Допущения'!$D$11*'Допущения'!$D$13</f>
        <v/>
      </c>
    </row>
    <row r="10">
      <c r="A10" s="28" t="inlineStr">
        <is>
          <t>Проверка: клиенты ВТБ 14–25 по модели (факт ВТБ — на листе «Допущения»)</t>
        </is>
      </c>
      <c r="B10" s="28" t="inlineStr">
        <is>
          <t>тыс. чел.</t>
        </is>
      </c>
      <c r="C10" s="29">
        <f>C9+'Допущения'!$D$16*'Допущения'!$D$9*'Допущения'!$D$11*'Допущения'!$D$13</f>
        <v/>
      </c>
    </row>
    <row r="11">
      <c r="A11" s="28" t="inlineStr">
        <is>
          <t>Дропов 14–22 лет в РФ в год</t>
        </is>
      </c>
      <c r="B11" s="28" t="inlineStr">
        <is>
          <t>тыс. чел.</t>
        </is>
      </c>
      <c r="C11" s="29">
        <f>'Допущения'!$D$14*12*'Допущения'!$D$15/1000</f>
        <v/>
      </c>
    </row>
    <row r="12">
      <c r="A12" s="28" t="inlineStr">
        <is>
          <t>Вероятность стать дропом за год для молодого клиента с картой</t>
        </is>
      </c>
      <c r="B12" s="28" t="inlineStr">
        <is>
          <t>доля</t>
        </is>
      </c>
      <c r="C12" s="31">
        <f>IF(C8&gt;0,C11/C8,0)</f>
        <v/>
      </c>
    </row>
    <row r="13">
      <c r="A13" s="28" t="inlineStr">
        <is>
          <t>Дроп-кейсов среди клиентов ВТБ 14–22 в год (без продукта)</t>
        </is>
      </c>
      <c r="B13" s="28" t="inlineStr">
        <is>
          <t>шт.</t>
        </is>
      </c>
      <c r="C13" s="29">
        <f>C9*1000*C12</f>
        <v/>
      </c>
    </row>
    <row r="14">
      <c r="A14" s="28" t="inlineStr">
        <is>
          <t>Маржинальный доход на молодого клиента</t>
        </is>
      </c>
      <c r="B14" s="28" t="inlineStr">
        <is>
          <t>₽/год</t>
        </is>
      </c>
      <c r="C14" s="29">
        <f>'Допущения'!$D$20*12*'Допущения'!$D$21+'Допущения'!$D$22*'Допущения'!$D$23-'Допущения'!$D$24</f>
        <v/>
      </c>
    </row>
    <row r="15">
      <c r="A15" s="28" t="inlineStr">
        <is>
          <t>Затраты банка на один дроп-кейс</t>
        </is>
      </c>
      <c r="B15" s="28" t="inlineStr">
        <is>
          <t>₽</t>
        </is>
      </c>
      <c r="C15" s="29">
        <f>'Допущения'!$D$28*'Допущения'!$D$29+'Допущения'!$D$30*'Допущения'!$D$31+'Допущения'!$D$32*'Допущения'!$D$33+'Допущения'!$D$34</f>
        <v/>
      </c>
    </row>
    <row r="16">
      <c r="A16" s="28" t="inlineStr">
        <is>
          <t>Квартальная ставка дисконтирования</t>
        </is>
      </c>
      <c r="B16" s="28" t="inlineStr">
        <is>
          <t>доля</t>
        </is>
      </c>
      <c r="C16" s="31">
        <f>(1+'Допущения'!$D$81)^(1/4)-1</f>
        <v/>
      </c>
    </row>
    <row r="17">
      <c r="A17" s="28" t="inlineStr">
        <is>
          <t>Полная стоимость сотрудника к зарплате (взносы + накладные)</t>
        </is>
      </c>
      <c r="B17" s="28" t="inlineStr">
        <is>
          <t>x</t>
        </is>
      </c>
      <c r="C17" s="32">
        <f>(1+'Допущения'!$D$76)*(1+'Допущения'!$D$77)</f>
        <v/>
      </c>
    </row>
    <row r="18">
      <c r="A18" s="28" t="inlineStr">
        <is>
          <t>Этап 2: дроп-кейсов среди клиентов ВТБ 23+ в год (без продукта)</t>
        </is>
      </c>
      <c r="B18" s="28" t="inlineStr">
        <is>
          <t>шт.</t>
        </is>
      </c>
      <c r="C18" s="29">
        <f>'Допущения'!$D$14*12*'Допущения'!$D$50*'Допущения'!$D$51</f>
        <v/>
      </c>
    </row>
    <row r="19">
      <c r="A19" s="28" t="inlineStr">
        <is>
          <t>Ценность будущего взрослого клиента на сегодня (на одного молодого клиента)</t>
        </is>
      </c>
      <c r="B19" s="28" t="inlineStr">
        <is>
          <t>₽</t>
        </is>
      </c>
      <c r="C19" s="29">
        <f>'Допущения'!$D$57*'Допущения'!$D$53*(1-(1+'Допущения'!$D$81)^(-'Допущения'!$D$59))/'Допущения'!$D$81/(1+'Допущения'!$D$81)^'Допущения'!$D$58</f>
        <v/>
      </c>
    </row>
    <row r="20">
      <c r="A20" s="28" t="inlineStr">
        <is>
          <t>Мост: дополнительно остаются в ВТБ при переходе в 14 лет</t>
        </is>
      </c>
      <c r="B20" s="28" t="inlineStr">
        <is>
          <t>чел./год</t>
        </is>
      </c>
      <c r="C20" s="29">
        <f>'Допущения'!$D$63*'Допущения'!$D$64*'Допущения'!$D$65*'Допущения'!$D$62</f>
        <v/>
      </c>
    </row>
    <row r="21">
      <c r="A21" s="28" t="inlineStr">
        <is>
          <t>Пушкинская карта: новых клиентов через «Старт»</t>
        </is>
      </c>
      <c r="B21" s="28" t="inlineStr">
        <is>
          <t>чел./год</t>
        </is>
      </c>
      <c r="C21" s="29">
        <f>'Допущения'!$D$67*'Допущения'!$D$68*'Допущения'!$D$69*'Допущения'!$D$66</f>
        <v/>
      </c>
    </row>
    <row r="22"/>
    <row r="23">
      <c r="A23" s="3" t="inlineStr">
        <is>
          <t>Показатель</t>
        </is>
      </c>
      <c r="B23" s="3" t="inlineStr">
        <is>
          <t>Ед.</t>
        </is>
      </c>
      <c r="C23" s="33" t="inlineStr">
        <is>
          <t>Q1 2027</t>
        </is>
      </c>
      <c r="D23" s="33" t="inlineStr">
        <is>
          <t>Q2 2027</t>
        </is>
      </c>
      <c r="E23" s="33" t="inlineStr">
        <is>
          <t>Q3 2027</t>
        </is>
      </c>
      <c r="F23" s="33" t="inlineStr">
        <is>
          <t>Q4 2027</t>
        </is>
      </c>
      <c r="G23" s="33" t="inlineStr">
        <is>
          <t>Q1 2028</t>
        </is>
      </c>
      <c r="H23" s="33" t="inlineStr">
        <is>
          <t>Q2 2028</t>
        </is>
      </c>
      <c r="I23" s="33" t="inlineStr">
        <is>
          <t>Q3 2028</t>
        </is>
      </c>
      <c r="J23" s="33" t="inlineStr">
        <is>
          <t>Q4 2028</t>
        </is>
      </c>
      <c r="K23" s="33" t="inlineStr">
        <is>
          <t>Q1 2029</t>
        </is>
      </c>
      <c r="L23" s="33" t="inlineStr">
        <is>
          <t>Q2 2029</t>
        </is>
      </c>
      <c r="M23" s="33" t="inlineStr">
        <is>
          <t>Q3 2029</t>
        </is>
      </c>
      <c r="N23" s="33" t="inlineStr">
        <is>
          <t>Q4 2029</t>
        </is>
      </c>
      <c r="O23" s="33" t="inlineStr">
        <is>
          <t>Q1 2030</t>
        </is>
      </c>
      <c r="P23" s="33" t="inlineStr">
        <is>
          <t>Q2 2030</t>
        </is>
      </c>
      <c r="Q23" s="33" t="inlineStr">
        <is>
          <t>Q3 2030</t>
        </is>
      </c>
      <c r="R23" s="33" t="inlineStr">
        <is>
          <t>Q4 2030</t>
        </is>
      </c>
      <c r="S23" s="33" t="inlineStr">
        <is>
          <t>Q1 2031</t>
        </is>
      </c>
      <c r="T23" s="33" t="inlineStr">
        <is>
          <t>Q2 2031</t>
        </is>
      </c>
      <c r="U23" s="33" t="inlineStr">
        <is>
          <t>Q3 2031</t>
        </is>
      </c>
      <c r="V23" s="33" t="inlineStr">
        <is>
          <t>Q4 2031</t>
        </is>
      </c>
      <c r="W23" s="3" t="n"/>
      <c r="X23" s="33" t="inlineStr">
        <is>
          <t>2027</t>
        </is>
      </c>
      <c r="Y23" s="33" t="inlineStr">
        <is>
          <t>2028</t>
        </is>
      </c>
      <c r="Z23" s="33" t="inlineStr">
        <is>
          <t>2029</t>
        </is>
      </c>
      <c r="AA23" s="33" t="inlineStr">
        <is>
          <t>2030</t>
        </is>
      </c>
      <c r="AB23" s="33" t="inlineStr">
        <is>
          <t>2031</t>
        </is>
      </c>
      <c r="AC23" s="33" t="inlineStr">
        <is>
          <t>Итого</t>
        </is>
      </c>
    </row>
    <row r="24">
      <c r="A24" s="28" t="inlineStr">
        <is>
          <t>Номер квартала</t>
        </is>
      </c>
      <c r="B24" s="28" t="inlineStr">
        <is>
          <t>№</t>
        </is>
      </c>
      <c r="C24" s="34">
        <f>1</f>
        <v/>
      </c>
      <c r="D24" s="34">
        <f>C24+1</f>
        <v/>
      </c>
      <c r="E24" s="34">
        <f>D24+1</f>
        <v/>
      </c>
      <c r="F24" s="34">
        <f>E24+1</f>
        <v/>
      </c>
      <c r="G24" s="34">
        <f>F24+1</f>
        <v/>
      </c>
      <c r="H24" s="34">
        <f>G24+1</f>
        <v/>
      </c>
      <c r="I24" s="34">
        <f>H24+1</f>
        <v/>
      </c>
      <c r="J24" s="34">
        <f>I24+1</f>
        <v/>
      </c>
      <c r="K24" s="34">
        <f>J24+1</f>
        <v/>
      </c>
      <c r="L24" s="34">
        <f>K24+1</f>
        <v/>
      </c>
      <c r="M24" s="34">
        <f>L24+1</f>
        <v/>
      </c>
      <c r="N24" s="34">
        <f>M24+1</f>
        <v/>
      </c>
      <c r="O24" s="34">
        <f>N24+1</f>
        <v/>
      </c>
      <c r="P24" s="34">
        <f>O24+1</f>
        <v/>
      </c>
      <c r="Q24" s="34">
        <f>P24+1</f>
        <v/>
      </c>
      <c r="R24" s="34">
        <f>Q24+1</f>
        <v/>
      </c>
      <c r="S24" s="34">
        <f>R24+1</f>
        <v/>
      </c>
      <c r="T24" s="34">
        <f>S24+1</f>
        <v/>
      </c>
      <c r="U24" s="34">
        <f>T24+1</f>
        <v/>
      </c>
      <c r="V24" s="34">
        <f>U24+1</f>
        <v/>
      </c>
    </row>
    <row r="25">
      <c r="A25" s="28" t="inlineStr">
        <is>
          <t>Флаг: разработка и пилот (полная команда)</t>
        </is>
      </c>
      <c r="B25" s="28" t="inlineStr">
        <is>
          <t>0/1</t>
        </is>
      </c>
      <c r="C25" s="34">
        <f>IF(C24&lt;='Допущения'!$D$74,1,0)</f>
        <v/>
      </c>
      <c r="D25" s="34">
        <f>IF(D24&lt;='Допущения'!$D$74,1,0)</f>
        <v/>
      </c>
      <c r="E25" s="34">
        <f>IF(E24&lt;='Допущения'!$D$74,1,0)</f>
        <v/>
      </c>
      <c r="F25" s="34">
        <f>IF(F24&lt;='Допущения'!$D$74,1,0)</f>
        <v/>
      </c>
      <c r="G25" s="34">
        <f>IF(G24&lt;='Допущения'!$D$74,1,0)</f>
        <v/>
      </c>
      <c r="H25" s="34">
        <f>IF(H24&lt;='Допущения'!$D$74,1,0)</f>
        <v/>
      </c>
      <c r="I25" s="34">
        <f>IF(I24&lt;='Допущения'!$D$74,1,0)</f>
        <v/>
      </c>
      <c r="J25" s="34">
        <f>IF(J24&lt;='Допущения'!$D$74,1,0)</f>
        <v/>
      </c>
      <c r="K25" s="34">
        <f>IF(K24&lt;='Допущения'!$D$74,1,0)</f>
        <v/>
      </c>
      <c r="L25" s="34">
        <f>IF(L24&lt;='Допущения'!$D$74,1,0)</f>
        <v/>
      </c>
      <c r="M25" s="34">
        <f>IF(M24&lt;='Допущения'!$D$74,1,0)</f>
        <v/>
      </c>
      <c r="N25" s="34">
        <f>IF(N24&lt;='Допущения'!$D$74,1,0)</f>
        <v/>
      </c>
      <c r="O25" s="34">
        <f>IF(O24&lt;='Допущения'!$D$74,1,0)</f>
        <v/>
      </c>
      <c r="P25" s="34">
        <f>IF(P24&lt;='Допущения'!$D$74,1,0)</f>
        <v/>
      </c>
      <c r="Q25" s="34">
        <f>IF(Q24&lt;='Допущения'!$D$74,1,0)</f>
        <v/>
      </c>
      <c r="R25" s="34">
        <f>IF(R24&lt;='Допущения'!$D$74,1,0)</f>
        <v/>
      </c>
      <c r="S25" s="34">
        <f>IF(S24&lt;='Допущения'!$D$74,1,0)</f>
        <v/>
      </c>
      <c r="T25" s="34">
        <f>IF(T24&lt;='Допущения'!$D$74,1,0)</f>
        <v/>
      </c>
      <c r="U25" s="34">
        <f>IF(U24&lt;='Допущения'!$D$74,1,0)</f>
        <v/>
      </c>
      <c r="V25" s="34">
        <f>IF(V24&lt;='Допущения'!$D$74,1,0)</f>
        <v/>
      </c>
    </row>
    <row r="26">
      <c r="A26" s="28" t="inlineStr">
        <is>
          <t>Флаг: продукт запущен для всех</t>
        </is>
      </c>
      <c r="B26" s="28" t="inlineStr">
        <is>
          <t>0/1</t>
        </is>
      </c>
      <c r="C26" s="34">
        <f>IF(C24&gt;='Допущения'!$D$75,1,0)</f>
        <v/>
      </c>
      <c r="D26" s="34">
        <f>IF(D24&gt;='Допущения'!$D$75,1,0)</f>
        <v/>
      </c>
      <c r="E26" s="34">
        <f>IF(E24&gt;='Допущения'!$D$75,1,0)</f>
        <v/>
      </c>
      <c r="F26" s="34">
        <f>IF(F24&gt;='Допущения'!$D$75,1,0)</f>
        <v/>
      </c>
      <c r="G26" s="34">
        <f>IF(G24&gt;='Допущения'!$D$75,1,0)</f>
        <v/>
      </c>
      <c r="H26" s="34">
        <f>IF(H24&gt;='Допущения'!$D$75,1,0)</f>
        <v/>
      </c>
      <c r="I26" s="34">
        <f>IF(I24&gt;='Допущения'!$D$75,1,0)</f>
        <v/>
      </c>
      <c r="J26" s="34">
        <f>IF(J24&gt;='Допущения'!$D$75,1,0)</f>
        <v/>
      </c>
      <c r="K26" s="34">
        <f>IF(K24&gt;='Допущения'!$D$75,1,0)</f>
        <v/>
      </c>
      <c r="L26" s="34">
        <f>IF(L24&gt;='Допущения'!$D$75,1,0)</f>
        <v/>
      </c>
      <c r="M26" s="34">
        <f>IF(M24&gt;='Допущения'!$D$75,1,0)</f>
        <v/>
      </c>
      <c r="N26" s="34">
        <f>IF(N24&gt;='Допущения'!$D$75,1,0)</f>
        <v/>
      </c>
      <c r="O26" s="34">
        <f>IF(O24&gt;='Допущения'!$D$75,1,0)</f>
        <v/>
      </c>
      <c r="P26" s="34">
        <f>IF(P24&gt;='Допущения'!$D$75,1,0)</f>
        <v/>
      </c>
      <c r="Q26" s="34">
        <f>IF(Q24&gt;='Допущения'!$D$75,1,0)</f>
        <v/>
      </c>
      <c r="R26" s="34">
        <f>IF(R24&gt;='Допущения'!$D$75,1,0)</f>
        <v/>
      </c>
      <c r="S26" s="34">
        <f>IF(S24&gt;='Допущения'!$D$75,1,0)</f>
        <v/>
      </c>
      <c r="T26" s="34">
        <f>IF(T24&gt;='Допущения'!$D$75,1,0)</f>
        <v/>
      </c>
      <c r="U26" s="34">
        <f>IF(U24&gt;='Допущения'!$D$75,1,0)</f>
        <v/>
      </c>
      <c r="V26" s="34">
        <f>IF(V24&gt;='Допущения'!$D$75,1,0)</f>
        <v/>
      </c>
    </row>
    <row r="27">
      <c r="A27" s="28" t="inlineStr">
        <is>
          <t>Покрытие перехватом (доля молодых клиентов)</t>
        </is>
      </c>
      <c r="B27" s="28" t="inlineStr">
        <is>
          <t>доля</t>
        </is>
      </c>
      <c r="C27" s="35">
        <f>'Допущения'!C$100</f>
        <v/>
      </c>
      <c r="D27" s="35">
        <f>'Допущения'!D$100</f>
        <v/>
      </c>
      <c r="E27" s="35">
        <f>'Допущения'!E$100</f>
        <v/>
      </c>
      <c r="F27" s="35">
        <f>'Допущения'!F$100</f>
        <v/>
      </c>
      <c r="G27" s="35">
        <f>'Допущения'!G$100</f>
        <v/>
      </c>
      <c r="H27" s="35">
        <f>'Допущения'!H$100</f>
        <v/>
      </c>
      <c r="I27" s="35">
        <f>'Допущения'!I$100</f>
        <v/>
      </c>
      <c r="J27" s="35">
        <f>'Допущения'!J$100</f>
        <v/>
      </c>
      <c r="K27" s="35">
        <f>'Допущения'!K$100</f>
        <v/>
      </c>
      <c r="L27" s="35">
        <f>'Допущения'!L$100</f>
        <v/>
      </c>
      <c r="M27" s="35">
        <f>'Допущения'!M$100</f>
        <v/>
      </c>
      <c r="N27" s="35">
        <f>'Допущения'!N$100</f>
        <v/>
      </c>
      <c r="O27" s="35">
        <f>'Допущения'!O$100</f>
        <v/>
      </c>
      <c r="P27" s="35">
        <f>'Допущения'!P$100</f>
        <v/>
      </c>
      <c r="Q27" s="35">
        <f>'Допущения'!Q$100</f>
        <v/>
      </c>
      <c r="R27" s="35">
        <f>'Допущения'!R$100</f>
        <v/>
      </c>
      <c r="S27" s="35">
        <f>'Допущения'!S$100</f>
        <v/>
      </c>
      <c r="T27" s="35">
        <f>'Допущения'!T$100</f>
        <v/>
      </c>
      <c r="U27" s="35">
        <f>'Допущения'!U$100</f>
        <v/>
      </c>
      <c r="V27" s="35">
        <f>'Допущения'!V$100</f>
        <v/>
      </c>
      <c r="X27" s="35">
        <f>F27</f>
        <v/>
      </c>
      <c r="Y27" s="35">
        <f>J27</f>
        <v/>
      </c>
      <c r="Z27" s="35">
        <f>N27</f>
        <v/>
      </c>
      <c r="AA27" s="35">
        <f>R27</f>
        <v/>
      </c>
      <c r="AB27" s="35">
        <f>V27</f>
        <v/>
      </c>
      <c r="AC27" s="36">
        <f>V27</f>
        <v/>
      </c>
    </row>
    <row r="28">
      <c r="A28" s="28" t="inlineStr">
        <is>
          <t>Флаг: этап 2 (перехват для клиентов 23+)</t>
        </is>
      </c>
      <c r="B28" s="28" t="inlineStr">
        <is>
          <t>0/1</t>
        </is>
      </c>
      <c r="C28" s="34">
        <f>IF(C24&gt;='Допущения'!$D$49,1,0)*'Допущения'!$D$48</f>
        <v/>
      </c>
      <c r="D28" s="34">
        <f>IF(D24&gt;='Допущения'!$D$49,1,0)*'Допущения'!$D$48</f>
        <v/>
      </c>
      <c r="E28" s="34">
        <f>IF(E24&gt;='Допущения'!$D$49,1,0)*'Допущения'!$D$48</f>
        <v/>
      </c>
      <c r="F28" s="34">
        <f>IF(F24&gt;='Допущения'!$D$49,1,0)*'Допущения'!$D$48</f>
        <v/>
      </c>
      <c r="G28" s="34">
        <f>IF(G24&gt;='Допущения'!$D$49,1,0)*'Допущения'!$D$48</f>
        <v/>
      </c>
      <c r="H28" s="34">
        <f>IF(H24&gt;='Допущения'!$D$49,1,0)*'Допущения'!$D$48</f>
        <v/>
      </c>
      <c r="I28" s="34">
        <f>IF(I24&gt;='Допущения'!$D$49,1,0)*'Допущения'!$D$48</f>
        <v/>
      </c>
      <c r="J28" s="34">
        <f>IF(J24&gt;='Допущения'!$D$49,1,0)*'Допущения'!$D$48</f>
        <v/>
      </c>
      <c r="K28" s="34">
        <f>IF(K24&gt;='Допущения'!$D$49,1,0)*'Допущения'!$D$48</f>
        <v/>
      </c>
      <c r="L28" s="34">
        <f>IF(L24&gt;='Допущения'!$D$49,1,0)*'Допущения'!$D$48</f>
        <v/>
      </c>
      <c r="M28" s="34">
        <f>IF(M24&gt;='Допущения'!$D$49,1,0)*'Допущения'!$D$48</f>
        <v/>
      </c>
      <c r="N28" s="34">
        <f>IF(N24&gt;='Допущения'!$D$49,1,0)*'Допущения'!$D$48</f>
        <v/>
      </c>
      <c r="O28" s="34">
        <f>IF(O24&gt;='Допущения'!$D$49,1,0)*'Допущения'!$D$48</f>
        <v/>
      </c>
      <c r="P28" s="34">
        <f>IF(P24&gt;='Допущения'!$D$49,1,0)*'Допущения'!$D$48</f>
        <v/>
      </c>
      <c r="Q28" s="34">
        <f>IF(Q24&gt;='Допущения'!$D$49,1,0)*'Допущения'!$D$48</f>
        <v/>
      </c>
      <c r="R28" s="34">
        <f>IF(R24&gt;='Допущения'!$D$49,1,0)*'Допущения'!$D$48</f>
        <v/>
      </c>
      <c r="S28" s="34">
        <f>IF(S24&gt;='Допущения'!$D$49,1,0)*'Допущения'!$D$48</f>
        <v/>
      </c>
      <c r="T28" s="34">
        <f>IF(T24&gt;='Допущения'!$D$49,1,0)*'Допущения'!$D$48</f>
        <v/>
      </c>
      <c r="U28" s="34">
        <f>IF(U24&gt;='Допущения'!$D$49,1,0)*'Допущения'!$D$48</f>
        <v/>
      </c>
      <c r="V28" s="34">
        <f>IF(V24&gt;='Допущения'!$D$49,1,0)*'Допущения'!$D$48</f>
        <v/>
      </c>
    </row>
    <row r="29">
      <c r="A29" s="4" t="inlineStr">
        <is>
          <t>Охват раздела «Старт»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28" t="inlineStr">
        <is>
          <t>Доля молодых клиентов ВТБ — MAU раздела</t>
        </is>
      </c>
      <c r="B30" s="28" t="inlineStr">
        <is>
          <t>доля</t>
        </is>
      </c>
      <c r="C30" s="35">
        <f>MIN('Допущения'!$D$73,'Допущения'!C$99*'Допущения'!$D$72)</f>
        <v/>
      </c>
      <c r="D30" s="35">
        <f>MIN('Допущения'!$D$73,'Допущения'!D$99*'Допущения'!$D$72)</f>
        <v/>
      </c>
      <c r="E30" s="35">
        <f>MIN('Допущения'!$D$73,'Допущения'!E$99*'Допущения'!$D$72)</f>
        <v/>
      </c>
      <c r="F30" s="35">
        <f>MIN('Допущения'!$D$73,'Допущения'!F$99*'Допущения'!$D$72)</f>
        <v/>
      </c>
      <c r="G30" s="35">
        <f>MIN('Допущения'!$D$73,'Допущения'!G$99*'Допущения'!$D$72)</f>
        <v/>
      </c>
      <c r="H30" s="35">
        <f>MIN('Допущения'!$D$73,'Допущения'!H$99*'Допущения'!$D$72)</f>
        <v/>
      </c>
      <c r="I30" s="35">
        <f>MIN('Допущения'!$D$73,'Допущения'!I$99*'Допущения'!$D$72)</f>
        <v/>
      </c>
      <c r="J30" s="35">
        <f>MIN('Допущения'!$D$73,'Допущения'!J$99*'Допущения'!$D$72)</f>
        <v/>
      </c>
      <c r="K30" s="35">
        <f>MIN('Допущения'!$D$73,'Допущения'!K$99*'Допущения'!$D$72)</f>
        <v/>
      </c>
      <c r="L30" s="35">
        <f>MIN('Допущения'!$D$73,'Допущения'!L$99*'Допущения'!$D$72)</f>
        <v/>
      </c>
      <c r="M30" s="35">
        <f>MIN('Допущения'!$D$73,'Допущения'!M$99*'Допущения'!$D$72)</f>
        <v/>
      </c>
      <c r="N30" s="35">
        <f>MIN('Допущения'!$D$73,'Допущения'!N$99*'Допущения'!$D$72)</f>
        <v/>
      </c>
      <c r="O30" s="35">
        <f>MIN('Допущения'!$D$73,'Допущения'!O$99*'Допущения'!$D$72)</f>
        <v/>
      </c>
      <c r="P30" s="35">
        <f>MIN('Допущения'!$D$73,'Допущения'!P$99*'Допущения'!$D$72)</f>
        <v/>
      </c>
      <c r="Q30" s="35">
        <f>MIN('Допущения'!$D$73,'Допущения'!Q$99*'Допущения'!$D$72)</f>
        <v/>
      </c>
      <c r="R30" s="35">
        <f>MIN('Допущения'!$D$73,'Допущения'!R$99*'Допущения'!$D$72)</f>
        <v/>
      </c>
      <c r="S30" s="35">
        <f>MIN('Допущения'!$D$73,'Допущения'!S$99*'Допущения'!$D$72)</f>
        <v/>
      </c>
      <c r="T30" s="35">
        <f>MIN('Допущения'!$D$73,'Допущения'!T$99*'Допущения'!$D$72)</f>
        <v/>
      </c>
      <c r="U30" s="35">
        <f>MIN('Допущения'!$D$73,'Допущения'!U$99*'Допущения'!$D$72)</f>
        <v/>
      </c>
      <c r="V30" s="35">
        <f>MIN('Допущения'!$D$73,'Допущения'!V$99*'Допущения'!$D$72)</f>
        <v/>
      </c>
      <c r="X30" s="35">
        <f>F30</f>
        <v/>
      </c>
      <c r="Y30" s="35">
        <f>J30</f>
        <v/>
      </c>
      <c r="Z30" s="35">
        <f>N30</f>
        <v/>
      </c>
      <c r="AA30" s="35">
        <f>R30</f>
        <v/>
      </c>
      <c r="AB30" s="35">
        <f>V30</f>
        <v/>
      </c>
      <c r="AC30" s="36">
        <f>V30</f>
        <v/>
      </c>
    </row>
    <row r="31">
      <c r="A31" s="28" t="inlineStr">
        <is>
          <t>MAU раздела «Старт»</t>
        </is>
      </c>
      <c r="B31" s="28" t="inlineStr">
        <is>
          <t>тыс. чел.</t>
        </is>
      </c>
      <c r="C31" s="29">
        <f>$C$9*C30</f>
        <v/>
      </c>
      <c r="D31" s="29">
        <f>$C$9*D30</f>
        <v/>
      </c>
      <c r="E31" s="29">
        <f>$C$9*E30</f>
        <v/>
      </c>
      <c r="F31" s="29">
        <f>$C$9*F30</f>
        <v/>
      </c>
      <c r="G31" s="29">
        <f>$C$9*G30</f>
        <v/>
      </c>
      <c r="H31" s="29">
        <f>$C$9*H30</f>
        <v/>
      </c>
      <c r="I31" s="29">
        <f>$C$9*I30</f>
        <v/>
      </c>
      <c r="J31" s="29">
        <f>$C$9*J30</f>
        <v/>
      </c>
      <c r="K31" s="29">
        <f>$C$9*K30</f>
        <v/>
      </c>
      <c r="L31" s="29">
        <f>$C$9*L30</f>
        <v/>
      </c>
      <c r="M31" s="29">
        <f>$C$9*M30</f>
        <v/>
      </c>
      <c r="N31" s="29">
        <f>$C$9*N30</f>
        <v/>
      </c>
      <c r="O31" s="29">
        <f>$C$9*O30</f>
        <v/>
      </c>
      <c r="P31" s="29">
        <f>$C$9*P30</f>
        <v/>
      </c>
      <c r="Q31" s="29">
        <f>$C$9*Q30</f>
        <v/>
      </c>
      <c r="R31" s="29">
        <f>$C$9*R30</f>
        <v/>
      </c>
      <c r="S31" s="29">
        <f>$C$9*S30</f>
        <v/>
      </c>
      <c r="T31" s="29">
        <f>$C$9*T30</f>
        <v/>
      </c>
      <c r="U31" s="29">
        <f>$C$9*U30</f>
        <v/>
      </c>
      <c r="V31" s="29">
        <f>$C$9*V30</f>
        <v/>
      </c>
      <c r="X31" s="29">
        <f>F31</f>
        <v/>
      </c>
      <c r="Y31" s="29">
        <f>J31</f>
        <v/>
      </c>
      <c r="Z31" s="29">
        <f>N31</f>
        <v/>
      </c>
      <c r="AA31" s="29">
        <f>R31</f>
        <v/>
      </c>
      <c r="AB31" s="29">
        <f>V31</f>
        <v/>
      </c>
      <c r="AC31" s="37">
        <f>V31</f>
        <v/>
      </c>
    </row>
    <row r="32">
      <c r="A32" s="4" t="inlineStr">
        <is>
          <t>Эффект для банка — молодёжь 14–22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28" t="inlineStr">
        <is>
          <t>Предотвращённые дроп-кейсы (перехват у всех + уроки у MAU)</t>
        </is>
      </c>
      <c r="B33" s="28" t="inlineStr">
        <is>
          <t>шт.</t>
        </is>
      </c>
      <c r="C33" s="29">
        <f>$C$9*1000*$C$12/4*(C27*'Допущения'!$D$39+C30*'Допущения'!$D$40)</f>
        <v/>
      </c>
      <c r="D33" s="29">
        <f>$C$9*1000*$C$12/4*(D27*'Допущения'!$D$39+D30*'Допущения'!$D$40)</f>
        <v/>
      </c>
      <c r="E33" s="29">
        <f>$C$9*1000*$C$12/4*(E27*'Допущения'!$D$39+E30*'Допущения'!$D$40)</f>
        <v/>
      </c>
      <c r="F33" s="29">
        <f>$C$9*1000*$C$12/4*(F27*'Допущения'!$D$39+F30*'Допущения'!$D$40)</f>
        <v/>
      </c>
      <c r="G33" s="29">
        <f>$C$9*1000*$C$12/4*(G27*'Допущения'!$D$39+G30*'Допущения'!$D$40)</f>
        <v/>
      </c>
      <c r="H33" s="29">
        <f>$C$9*1000*$C$12/4*(H27*'Допущения'!$D$39+H30*'Допущения'!$D$40)</f>
        <v/>
      </c>
      <c r="I33" s="29">
        <f>$C$9*1000*$C$12/4*(I27*'Допущения'!$D$39+I30*'Допущения'!$D$40)</f>
        <v/>
      </c>
      <c r="J33" s="29">
        <f>$C$9*1000*$C$12/4*(J27*'Допущения'!$D$39+J30*'Допущения'!$D$40)</f>
        <v/>
      </c>
      <c r="K33" s="29">
        <f>$C$9*1000*$C$12/4*(K27*'Допущения'!$D$39+K30*'Допущения'!$D$40)</f>
        <v/>
      </c>
      <c r="L33" s="29">
        <f>$C$9*1000*$C$12/4*(L27*'Допущения'!$D$39+L30*'Допущения'!$D$40)</f>
        <v/>
      </c>
      <c r="M33" s="29">
        <f>$C$9*1000*$C$12/4*(M27*'Допущения'!$D$39+M30*'Допущения'!$D$40)</f>
        <v/>
      </c>
      <c r="N33" s="29">
        <f>$C$9*1000*$C$12/4*(N27*'Допущения'!$D$39+N30*'Допущения'!$D$40)</f>
        <v/>
      </c>
      <c r="O33" s="29">
        <f>$C$9*1000*$C$12/4*(O27*'Допущения'!$D$39+O30*'Допущения'!$D$40)</f>
        <v/>
      </c>
      <c r="P33" s="29">
        <f>$C$9*1000*$C$12/4*(P27*'Допущения'!$D$39+P30*'Допущения'!$D$40)</f>
        <v/>
      </c>
      <c r="Q33" s="29">
        <f>$C$9*1000*$C$12/4*(Q27*'Допущения'!$D$39+Q30*'Допущения'!$D$40)</f>
        <v/>
      </c>
      <c r="R33" s="29">
        <f>$C$9*1000*$C$12/4*(R27*'Допущения'!$D$39+R30*'Допущения'!$D$40)</f>
        <v/>
      </c>
      <c r="S33" s="29">
        <f>$C$9*1000*$C$12/4*(S27*'Допущения'!$D$39+S30*'Допущения'!$D$40)</f>
        <v/>
      </c>
      <c r="T33" s="29">
        <f>$C$9*1000*$C$12/4*(T27*'Допущения'!$D$39+T30*'Допущения'!$D$40)</f>
        <v/>
      </c>
      <c r="U33" s="29">
        <f>$C$9*1000*$C$12/4*(U27*'Допущения'!$D$39+U30*'Допущения'!$D$40)</f>
        <v/>
      </c>
      <c r="V33" s="29">
        <f>$C$9*1000*$C$12/4*(V27*'Допущения'!$D$39+V30*'Допущения'!$D$40)</f>
        <v/>
      </c>
      <c r="X33" s="29">
        <f>SUM(C33:F33)</f>
        <v/>
      </c>
      <c r="Y33" s="29">
        <f>SUM(G33:J33)</f>
        <v/>
      </c>
      <c r="Z33" s="29">
        <f>SUM(K33:N33)</f>
        <v/>
      </c>
      <c r="AA33" s="29">
        <f>SUM(O33:R33)</f>
        <v/>
      </c>
      <c r="AB33" s="29">
        <f>SUM(S33:V33)</f>
        <v/>
      </c>
      <c r="AC33" s="37">
        <f>SUM(C33:V33)</f>
        <v/>
      </c>
    </row>
    <row r="34">
      <c r="A34" s="28" t="inlineStr">
        <is>
          <t>1. Экономия на разборе дроп-кейсов</t>
        </is>
      </c>
      <c r="B34" s="28" t="inlineStr">
        <is>
          <t>млн ₽</t>
        </is>
      </c>
      <c r="C34" s="38">
        <f>C33*$C$15/1000000</f>
        <v/>
      </c>
      <c r="D34" s="38">
        <f>D33*$C$15/1000000</f>
        <v/>
      </c>
      <c r="E34" s="38">
        <f>E33*$C$15/1000000</f>
        <v/>
      </c>
      <c r="F34" s="38">
        <f>F33*$C$15/1000000</f>
        <v/>
      </c>
      <c r="G34" s="38">
        <f>G33*$C$15/1000000</f>
        <v/>
      </c>
      <c r="H34" s="38">
        <f>H33*$C$15/1000000</f>
        <v/>
      </c>
      <c r="I34" s="38">
        <f>I33*$C$15/1000000</f>
        <v/>
      </c>
      <c r="J34" s="38">
        <f>J33*$C$15/1000000</f>
        <v/>
      </c>
      <c r="K34" s="38">
        <f>K33*$C$15/1000000</f>
        <v/>
      </c>
      <c r="L34" s="38">
        <f>L33*$C$15/1000000</f>
        <v/>
      </c>
      <c r="M34" s="38">
        <f>M33*$C$15/1000000</f>
        <v/>
      </c>
      <c r="N34" s="38">
        <f>N33*$C$15/1000000</f>
        <v/>
      </c>
      <c r="O34" s="38">
        <f>O33*$C$15/1000000</f>
        <v/>
      </c>
      <c r="P34" s="38">
        <f>P33*$C$15/1000000</f>
        <v/>
      </c>
      <c r="Q34" s="38">
        <f>Q33*$C$15/1000000</f>
        <v/>
      </c>
      <c r="R34" s="38">
        <f>R33*$C$15/1000000</f>
        <v/>
      </c>
      <c r="S34" s="38">
        <f>S33*$C$15/1000000</f>
        <v/>
      </c>
      <c r="T34" s="38">
        <f>T33*$C$15/1000000</f>
        <v/>
      </c>
      <c r="U34" s="38">
        <f>U33*$C$15/1000000</f>
        <v/>
      </c>
      <c r="V34" s="38">
        <f>V33*$C$15/1000000</f>
        <v/>
      </c>
      <c r="X34" s="38">
        <f>SUM(C34:F34)</f>
        <v/>
      </c>
      <c r="Y34" s="38">
        <f>SUM(G34:J34)</f>
        <v/>
      </c>
      <c r="Z34" s="38">
        <f>SUM(K34:N34)</f>
        <v/>
      </c>
      <c r="AA34" s="38">
        <f>SUM(O34:R34)</f>
        <v/>
      </c>
      <c r="AB34" s="38">
        <f>SUM(S34:V34)</f>
        <v/>
      </c>
      <c r="AC34" s="39">
        <f>SUM(C34:V34)</f>
        <v/>
      </c>
    </row>
    <row r="35">
      <c r="A35" s="28" t="inlineStr">
        <is>
          <t>Сохранённые клиенты (не потеряны из-за дропа), накопительно</t>
        </is>
      </c>
      <c r="B35" s="28" t="inlineStr">
        <is>
          <t>чел.</t>
        </is>
      </c>
      <c r="C35" s="29">
        <f>C33*'Допущения'!$D$35</f>
        <v/>
      </c>
      <c r="D35" s="29">
        <f>C35*(1-'Допущения'!$D$25/4)+D33*'Допущения'!$D$35</f>
        <v/>
      </c>
      <c r="E35" s="29">
        <f>D35*(1-'Допущения'!$D$25/4)+E33*'Допущения'!$D$35</f>
        <v/>
      </c>
      <c r="F35" s="29">
        <f>E35*(1-'Допущения'!$D$25/4)+F33*'Допущения'!$D$35</f>
        <v/>
      </c>
      <c r="G35" s="29">
        <f>F35*(1-'Допущения'!$D$25/4)+G33*'Допущения'!$D$35</f>
        <v/>
      </c>
      <c r="H35" s="29">
        <f>G35*(1-'Допущения'!$D$25/4)+H33*'Допущения'!$D$35</f>
        <v/>
      </c>
      <c r="I35" s="29">
        <f>H35*(1-'Допущения'!$D$25/4)+I33*'Допущения'!$D$35</f>
        <v/>
      </c>
      <c r="J35" s="29">
        <f>I35*(1-'Допущения'!$D$25/4)+J33*'Допущения'!$D$35</f>
        <v/>
      </c>
      <c r="K35" s="29">
        <f>J35*(1-'Допущения'!$D$25/4)+K33*'Допущения'!$D$35</f>
        <v/>
      </c>
      <c r="L35" s="29">
        <f>K35*(1-'Допущения'!$D$25/4)+L33*'Допущения'!$D$35</f>
        <v/>
      </c>
      <c r="M35" s="29">
        <f>L35*(1-'Допущения'!$D$25/4)+M33*'Допущения'!$D$35</f>
        <v/>
      </c>
      <c r="N35" s="29">
        <f>M35*(1-'Допущения'!$D$25/4)+N33*'Допущения'!$D$35</f>
        <v/>
      </c>
      <c r="O35" s="29">
        <f>N35*(1-'Допущения'!$D$25/4)+O33*'Допущения'!$D$35</f>
        <v/>
      </c>
      <c r="P35" s="29">
        <f>O35*(1-'Допущения'!$D$25/4)+P33*'Допущения'!$D$35</f>
        <v/>
      </c>
      <c r="Q35" s="29">
        <f>P35*(1-'Допущения'!$D$25/4)+Q33*'Допущения'!$D$35</f>
        <v/>
      </c>
      <c r="R35" s="29">
        <f>Q35*(1-'Допущения'!$D$25/4)+R33*'Допущения'!$D$35</f>
        <v/>
      </c>
      <c r="S35" s="29">
        <f>R35*(1-'Допущения'!$D$25/4)+S33*'Допущения'!$D$35</f>
        <v/>
      </c>
      <c r="T35" s="29">
        <f>S35*(1-'Допущения'!$D$25/4)+T33*'Допущения'!$D$35</f>
        <v/>
      </c>
      <c r="U35" s="29">
        <f>T35*(1-'Допущения'!$D$25/4)+U33*'Допущения'!$D$35</f>
        <v/>
      </c>
      <c r="V35" s="29">
        <f>U35*(1-'Допущения'!$D$25/4)+V33*'Допущения'!$D$35</f>
        <v/>
      </c>
      <c r="X35" s="29">
        <f>F35</f>
        <v/>
      </c>
      <c r="Y35" s="29">
        <f>J35</f>
        <v/>
      </c>
      <c r="Z35" s="29">
        <f>N35</f>
        <v/>
      </c>
      <c r="AA35" s="29">
        <f>R35</f>
        <v/>
      </c>
      <c r="AB35" s="29">
        <f>V35</f>
        <v/>
      </c>
      <c r="AC35" s="37">
        <f>V35</f>
        <v/>
      </c>
    </row>
    <row r="36">
      <c r="A36" s="28" t="inlineStr">
        <is>
          <t>2. Доход от сохранённых клиентов</t>
        </is>
      </c>
      <c r="B36" s="28" t="inlineStr">
        <is>
          <t>млн ₽</t>
        </is>
      </c>
      <c r="C36" s="38">
        <f>C35*$C$14/4/1000000</f>
        <v/>
      </c>
      <c r="D36" s="38">
        <f>D35*$C$14/4/1000000</f>
        <v/>
      </c>
      <c r="E36" s="38">
        <f>E35*$C$14/4/1000000</f>
        <v/>
      </c>
      <c r="F36" s="38">
        <f>F35*$C$14/4/1000000</f>
        <v/>
      </c>
      <c r="G36" s="38">
        <f>G35*$C$14/4/1000000</f>
        <v/>
      </c>
      <c r="H36" s="38">
        <f>H35*$C$14/4/1000000</f>
        <v/>
      </c>
      <c r="I36" s="38">
        <f>I35*$C$14/4/1000000</f>
        <v/>
      </c>
      <c r="J36" s="38">
        <f>J35*$C$14/4/1000000</f>
        <v/>
      </c>
      <c r="K36" s="38">
        <f>K35*$C$14/4/1000000</f>
        <v/>
      </c>
      <c r="L36" s="38">
        <f>L35*$C$14/4/1000000</f>
        <v/>
      </c>
      <c r="M36" s="38">
        <f>M35*$C$14/4/1000000</f>
        <v/>
      </c>
      <c r="N36" s="38">
        <f>N35*$C$14/4/1000000</f>
        <v/>
      </c>
      <c r="O36" s="38">
        <f>O35*$C$14/4/1000000</f>
        <v/>
      </c>
      <c r="P36" s="38">
        <f>P35*$C$14/4/1000000</f>
        <v/>
      </c>
      <c r="Q36" s="38">
        <f>Q35*$C$14/4/1000000</f>
        <v/>
      </c>
      <c r="R36" s="38">
        <f>R35*$C$14/4/1000000</f>
        <v/>
      </c>
      <c r="S36" s="38">
        <f>S35*$C$14/4/1000000</f>
        <v/>
      </c>
      <c r="T36" s="38">
        <f>T35*$C$14/4/1000000</f>
        <v/>
      </c>
      <c r="U36" s="38">
        <f>U35*$C$14/4/1000000</f>
        <v/>
      </c>
      <c r="V36" s="38">
        <f>V35*$C$14/4/1000000</f>
        <v/>
      </c>
      <c r="X36" s="38">
        <f>SUM(C36:F36)</f>
        <v/>
      </c>
      <c r="Y36" s="38">
        <f>SUM(G36:J36)</f>
        <v/>
      </c>
      <c r="Z36" s="38">
        <f>SUM(K36:N36)</f>
        <v/>
      </c>
      <c r="AA36" s="38">
        <f>SUM(O36:R36)</f>
        <v/>
      </c>
      <c r="AB36" s="38">
        <f>SUM(S36:V36)</f>
        <v/>
      </c>
      <c r="AC36" s="39">
        <f>SUM(C36:V36)</f>
        <v/>
      </c>
    </row>
    <row r="37">
      <c r="A37" s="28" t="inlineStr">
        <is>
          <t>Дополнительно удержанные пользователи раздела, накопительно</t>
        </is>
      </c>
      <c r="B37" s="28" t="inlineStr">
        <is>
          <t>чел.</t>
        </is>
      </c>
      <c r="C37" s="29">
        <f>C31*1000*'Допущения'!$D$41/4</f>
        <v/>
      </c>
      <c r="D37" s="29">
        <f>C37*(1-'Допущения'!$D$25/4)+D31*1000*'Допущения'!$D$41/4</f>
        <v/>
      </c>
      <c r="E37" s="29">
        <f>D37*(1-'Допущения'!$D$25/4)+E31*1000*'Допущения'!$D$41/4</f>
        <v/>
      </c>
      <c r="F37" s="29">
        <f>E37*(1-'Допущения'!$D$25/4)+F31*1000*'Допущения'!$D$41/4</f>
        <v/>
      </c>
      <c r="G37" s="29">
        <f>F37*(1-'Допущения'!$D$25/4)+G31*1000*'Допущения'!$D$41/4</f>
        <v/>
      </c>
      <c r="H37" s="29">
        <f>G37*(1-'Допущения'!$D$25/4)+H31*1000*'Допущения'!$D$41/4</f>
        <v/>
      </c>
      <c r="I37" s="29">
        <f>H37*(1-'Допущения'!$D$25/4)+I31*1000*'Допущения'!$D$41/4</f>
        <v/>
      </c>
      <c r="J37" s="29">
        <f>I37*(1-'Допущения'!$D$25/4)+J31*1000*'Допущения'!$D$41/4</f>
        <v/>
      </c>
      <c r="K37" s="29">
        <f>J37*(1-'Допущения'!$D$25/4)+K31*1000*'Допущения'!$D$41/4</f>
        <v/>
      </c>
      <c r="L37" s="29">
        <f>K37*(1-'Допущения'!$D$25/4)+L31*1000*'Допущения'!$D$41/4</f>
        <v/>
      </c>
      <c r="M37" s="29">
        <f>L37*(1-'Допущения'!$D$25/4)+M31*1000*'Допущения'!$D$41/4</f>
        <v/>
      </c>
      <c r="N37" s="29">
        <f>M37*(1-'Допущения'!$D$25/4)+N31*1000*'Допущения'!$D$41/4</f>
        <v/>
      </c>
      <c r="O37" s="29">
        <f>N37*(1-'Допущения'!$D$25/4)+O31*1000*'Допущения'!$D$41/4</f>
        <v/>
      </c>
      <c r="P37" s="29">
        <f>O37*(1-'Допущения'!$D$25/4)+P31*1000*'Допущения'!$D$41/4</f>
        <v/>
      </c>
      <c r="Q37" s="29">
        <f>P37*(1-'Допущения'!$D$25/4)+Q31*1000*'Допущения'!$D$41/4</f>
        <v/>
      </c>
      <c r="R37" s="29">
        <f>Q37*(1-'Допущения'!$D$25/4)+R31*1000*'Допущения'!$D$41/4</f>
        <v/>
      </c>
      <c r="S37" s="29">
        <f>R37*(1-'Допущения'!$D$25/4)+S31*1000*'Допущения'!$D$41/4</f>
        <v/>
      </c>
      <c r="T37" s="29">
        <f>S37*(1-'Допущения'!$D$25/4)+T31*1000*'Допущения'!$D$41/4</f>
        <v/>
      </c>
      <c r="U37" s="29">
        <f>T37*(1-'Допущения'!$D$25/4)+U31*1000*'Допущения'!$D$41/4</f>
        <v/>
      </c>
      <c r="V37" s="29">
        <f>U37*(1-'Допущения'!$D$25/4)+V31*1000*'Допущения'!$D$41/4</f>
        <v/>
      </c>
      <c r="X37" s="29">
        <f>F37</f>
        <v/>
      </c>
      <c r="Y37" s="29">
        <f>J37</f>
        <v/>
      </c>
      <c r="Z37" s="29">
        <f>N37</f>
        <v/>
      </c>
      <c r="AA37" s="29">
        <f>R37</f>
        <v/>
      </c>
      <c r="AB37" s="29">
        <f>V37</f>
        <v/>
      </c>
      <c r="AC37" s="37">
        <f>V37</f>
        <v/>
      </c>
    </row>
    <row r="38">
      <c r="A38" s="28" t="inlineStr">
        <is>
          <t>3. Доход от снижения оттока</t>
        </is>
      </c>
      <c r="B38" s="28" t="inlineStr">
        <is>
          <t>млн ₽</t>
        </is>
      </c>
      <c r="C38" s="38">
        <f>C37*$C$14/4/1000000</f>
        <v/>
      </c>
      <c r="D38" s="38">
        <f>D37*$C$14/4/1000000</f>
        <v/>
      </c>
      <c r="E38" s="38">
        <f>E37*$C$14/4/1000000</f>
        <v/>
      </c>
      <c r="F38" s="38">
        <f>F37*$C$14/4/1000000</f>
        <v/>
      </c>
      <c r="G38" s="38">
        <f>G37*$C$14/4/1000000</f>
        <v/>
      </c>
      <c r="H38" s="38">
        <f>H37*$C$14/4/1000000</f>
        <v/>
      </c>
      <c r="I38" s="38">
        <f>I37*$C$14/4/1000000</f>
        <v/>
      </c>
      <c r="J38" s="38">
        <f>J37*$C$14/4/1000000</f>
        <v/>
      </c>
      <c r="K38" s="38">
        <f>K37*$C$14/4/1000000</f>
        <v/>
      </c>
      <c r="L38" s="38">
        <f>L37*$C$14/4/1000000</f>
        <v/>
      </c>
      <c r="M38" s="38">
        <f>M37*$C$14/4/1000000</f>
        <v/>
      </c>
      <c r="N38" s="38">
        <f>N37*$C$14/4/1000000</f>
        <v/>
      </c>
      <c r="O38" s="38">
        <f>O37*$C$14/4/1000000</f>
        <v/>
      </c>
      <c r="P38" s="38">
        <f>P37*$C$14/4/1000000</f>
        <v/>
      </c>
      <c r="Q38" s="38">
        <f>Q37*$C$14/4/1000000</f>
        <v/>
      </c>
      <c r="R38" s="38">
        <f>R37*$C$14/4/1000000</f>
        <v/>
      </c>
      <c r="S38" s="38">
        <f>S37*$C$14/4/1000000</f>
        <v/>
      </c>
      <c r="T38" s="38">
        <f>T37*$C$14/4/1000000</f>
        <v/>
      </c>
      <c r="U38" s="38">
        <f>U37*$C$14/4/1000000</f>
        <v/>
      </c>
      <c r="V38" s="38">
        <f>V37*$C$14/4/1000000</f>
        <v/>
      </c>
      <c r="X38" s="38">
        <f>SUM(C38:F38)</f>
        <v/>
      </c>
      <c r="Y38" s="38">
        <f>SUM(G38:J38)</f>
        <v/>
      </c>
      <c r="Z38" s="38">
        <f>SUM(K38:N38)</f>
        <v/>
      </c>
      <c r="AA38" s="38">
        <f>SUM(O38:R38)</f>
        <v/>
      </c>
      <c r="AB38" s="38">
        <f>SUM(S38:V38)</f>
        <v/>
      </c>
      <c r="AC38" s="39">
        <f>SUM(C38:V38)</f>
        <v/>
      </c>
    </row>
    <row r="39">
      <c r="A39" s="28" t="inlineStr">
        <is>
          <t>Новые клиенты благодаря продукту, накопительно</t>
        </is>
      </c>
      <c r="B39" s="28" t="inlineStr">
        <is>
          <t>чел.</t>
        </is>
      </c>
      <c r="C39" s="29">
        <f>'Допущения'!$D$44/4*'Допущения'!$D$45*C26</f>
        <v/>
      </c>
      <c r="D39" s="29">
        <f>C39*(1-'Допущения'!$D$25/4)+'Допущения'!$D$44/4*'Допущения'!$D$45*D26</f>
        <v/>
      </c>
      <c r="E39" s="29">
        <f>D39*(1-'Допущения'!$D$25/4)+'Допущения'!$D$44/4*'Допущения'!$D$45*E26</f>
        <v/>
      </c>
      <c r="F39" s="29">
        <f>E39*(1-'Допущения'!$D$25/4)+'Допущения'!$D$44/4*'Допущения'!$D$45*F26</f>
        <v/>
      </c>
      <c r="G39" s="29">
        <f>F39*(1-'Допущения'!$D$25/4)+'Допущения'!$D$44/4*'Допущения'!$D$45*G26</f>
        <v/>
      </c>
      <c r="H39" s="29">
        <f>G39*(1-'Допущения'!$D$25/4)+'Допущения'!$D$44/4*'Допущения'!$D$45*H26</f>
        <v/>
      </c>
      <c r="I39" s="29">
        <f>H39*(1-'Допущения'!$D$25/4)+'Допущения'!$D$44/4*'Допущения'!$D$45*I26</f>
        <v/>
      </c>
      <c r="J39" s="29">
        <f>I39*(1-'Допущения'!$D$25/4)+'Допущения'!$D$44/4*'Допущения'!$D$45*J26</f>
        <v/>
      </c>
      <c r="K39" s="29">
        <f>J39*(1-'Допущения'!$D$25/4)+'Допущения'!$D$44/4*'Допущения'!$D$45*K26</f>
        <v/>
      </c>
      <c r="L39" s="29">
        <f>K39*(1-'Допущения'!$D$25/4)+'Допущения'!$D$44/4*'Допущения'!$D$45*L26</f>
        <v/>
      </c>
      <c r="M39" s="29">
        <f>L39*(1-'Допущения'!$D$25/4)+'Допущения'!$D$44/4*'Допущения'!$D$45*M26</f>
        <v/>
      </c>
      <c r="N39" s="29">
        <f>M39*(1-'Допущения'!$D$25/4)+'Допущения'!$D$44/4*'Допущения'!$D$45*N26</f>
        <v/>
      </c>
      <c r="O39" s="29">
        <f>N39*(1-'Допущения'!$D$25/4)+'Допущения'!$D$44/4*'Допущения'!$D$45*O26</f>
        <v/>
      </c>
      <c r="P39" s="29">
        <f>O39*(1-'Допущения'!$D$25/4)+'Допущения'!$D$44/4*'Допущения'!$D$45*P26</f>
        <v/>
      </c>
      <c r="Q39" s="29">
        <f>P39*(1-'Допущения'!$D$25/4)+'Допущения'!$D$44/4*'Допущения'!$D$45*Q26</f>
        <v/>
      </c>
      <c r="R39" s="29">
        <f>Q39*(1-'Допущения'!$D$25/4)+'Допущения'!$D$44/4*'Допущения'!$D$45*R26</f>
        <v/>
      </c>
      <c r="S39" s="29">
        <f>R39*(1-'Допущения'!$D$25/4)+'Допущения'!$D$44/4*'Допущения'!$D$45*S26</f>
        <v/>
      </c>
      <c r="T39" s="29">
        <f>S39*(1-'Допущения'!$D$25/4)+'Допущения'!$D$44/4*'Допущения'!$D$45*T26</f>
        <v/>
      </c>
      <c r="U39" s="29">
        <f>T39*(1-'Допущения'!$D$25/4)+'Допущения'!$D$44/4*'Допущения'!$D$45*U26</f>
        <v/>
      </c>
      <c r="V39" s="29">
        <f>U39*(1-'Допущения'!$D$25/4)+'Допущения'!$D$44/4*'Допущения'!$D$45*V26</f>
        <v/>
      </c>
      <c r="X39" s="29">
        <f>F39</f>
        <v/>
      </c>
      <c r="Y39" s="29">
        <f>J39</f>
        <v/>
      </c>
      <c r="Z39" s="29">
        <f>N39</f>
        <v/>
      </c>
      <c r="AA39" s="29">
        <f>R39</f>
        <v/>
      </c>
      <c r="AB39" s="29">
        <f>V39</f>
        <v/>
      </c>
      <c r="AC39" s="37">
        <f>V39</f>
        <v/>
      </c>
    </row>
    <row r="40">
      <c r="A40" s="28" t="inlineStr">
        <is>
          <t>4. Доход от новых клиентов</t>
        </is>
      </c>
      <c r="B40" s="28" t="inlineStr">
        <is>
          <t>млн ₽</t>
        </is>
      </c>
      <c r="C40" s="38">
        <f>C39*$C$14/4/1000000</f>
        <v/>
      </c>
      <c r="D40" s="38">
        <f>D39*$C$14/4/1000000</f>
        <v/>
      </c>
      <c r="E40" s="38">
        <f>E39*$C$14/4/1000000</f>
        <v/>
      </c>
      <c r="F40" s="38">
        <f>F39*$C$14/4/1000000</f>
        <v/>
      </c>
      <c r="G40" s="38">
        <f>G39*$C$14/4/1000000</f>
        <v/>
      </c>
      <c r="H40" s="38">
        <f>H39*$C$14/4/1000000</f>
        <v/>
      </c>
      <c r="I40" s="38">
        <f>I39*$C$14/4/1000000</f>
        <v/>
      </c>
      <c r="J40" s="38">
        <f>J39*$C$14/4/1000000</f>
        <v/>
      </c>
      <c r="K40" s="38">
        <f>K39*$C$14/4/1000000</f>
        <v/>
      </c>
      <c r="L40" s="38">
        <f>L39*$C$14/4/1000000</f>
        <v/>
      </c>
      <c r="M40" s="38">
        <f>M39*$C$14/4/1000000</f>
        <v/>
      </c>
      <c r="N40" s="38">
        <f>N39*$C$14/4/1000000</f>
        <v/>
      </c>
      <c r="O40" s="38">
        <f>O39*$C$14/4/1000000</f>
        <v/>
      </c>
      <c r="P40" s="38">
        <f>P39*$C$14/4/1000000</f>
        <v/>
      </c>
      <c r="Q40" s="38">
        <f>Q39*$C$14/4/1000000</f>
        <v/>
      </c>
      <c r="R40" s="38">
        <f>R39*$C$14/4/1000000</f>
        <v/>
      </c>
      <c r="S40" s="38">
        <f>S39*$C$14/4/1000000</f>
        <v/>
      </c>
      <c r="T40" s="38">
        <f>T39*$C$14/4/1000000</f>
        <v/>
      </c>
      <c r="U40" s="38">
        <f>U39*$C$14/4/1000000</f>
        <v/>
      </c>
      <c r="V40" s="38">
        <f>V39*$C$14/4/1000000</f>
        <v/>
      </c>
      <c r="X40" s="38">
        <f>SUM(C40:F40)</f>
        <v/>
      </c>
      <c r="Y40" s="38">
        <f>SUM(G40:J40)</f>
        <v/>
      </c>
      <c r="Z40" s="38">
        <f>SUM(K40:N40)</f>
        <v/>
      </c>
      <c r="AA40" s="38">
        <f>SUM(O40:R40)</f>
        <v/>
      </c>
      <c r="AB40" s="38">
        <f>SUM(S40:V40)</f>
        <v/>
      </c>
      <c r="AC40" s="39">
        <f>SUM(C40:V40)</f>
        <v/>
      </c>
    </row>
    <row r="41">
      <c r="A41" s="28" t="inlineStr">
        <is>
          <t>Обращения в КЦ, закрытые самообслуживанием</t>
        </is>
      </c>
      <c r="B41" s="28" t="inlineStr">
        <is>
          <t>шт.</t>
        </is>
      </c>
      <c r="C41" s="29">
        <f>$C$9*1000*'Допущения'!$D$42/4*'Допущения'!$D$43*C27</f>
        <v/>
      </c>
      <c r="D41" s="29">
        <f>$C$9*1000*'Допущения'!$D$42/4*'Допущения'!$D$43*D27</f>
        <v/>
      </c>
      <c r="E41" s="29">
        <f>$C$9*1000*'Допущения'!$D$42/4*'Допущения'!$D$43*E27</f>
        <v/>
      </c>
      <c r="F41" s="29">
        <f>$C$9*1000*'Допущения'!$D$42/4*'Допущения'!$D$43*F27</f>
        <v/>
      </c>
      <c r="G41" s="29">
        <f>$C$9*1000*'Допущения'!$D$42/4*'Допущения'!$D$43*G27</f>
        <v/>
      </c>
      <c r="H41" s="29">
        <f>$C$9*1000*'Допущения'!$D$42/4*'Допущения'!$D$43*H27</f>
        <v/>
      </c>
      <c r="I41" s="29">
        <f>$C$9*1000*'Допущения'!$D$42/4*'Допущения'!$D$43*I27</f>
        <v/>
      </c>
      <c r="J41" s="29">
        <f>$C$9*1000*'Допущения'!$D$42/4*'Допущения'!$D$43*J27</f>
        <v/>
      </c>
      <c r="K41" s="29">
        <f>$C$9*1000*'Допущения'!$D$42/4*'Допущения'!$D$43*K27</f>
        <v/>
      </c>
      <c r="L41" s="29">
        <f>$C$9*1000*'Допущения'!$D$42/4*'Допущения'!$D$43*L27</f>
        <v/>
      </c>
      <c r="M41" s="29">
        <f>$C$9*1000*'Допущения'!$D$42/4*'Допущения'!$D$43*M27</f>
        <v/>
      </c>
      <c r="N41" s="29">
        <f>$C$9*1000*'Допущения'!$D$42/4*'Допущения'!$D$43*N27</f>
        <v/>
      </c>
      <c r="O41" s="29">
        <f>$C$9*1000*'Допущения'!$D$42/4*'Допущения'!$D$43*O27</f>
        <v/>
      </c>
      <c r="P41" s="29">
        <f>$C$9*1000*'Допущения'!$D$42/4*'Допущения'!$D$43*P27</f>
        <v/>
      </c>
      <c r="Q41" s="29">
        <f>$C$9*1000*'Допущения'!$D$42/4*'Допущения'!$D$43*Q27</f>
        <v/>
      </c>
      <c r="R41" s="29">
        <f>$C$9*1000*'Допущения'!$D$42/4*'Допущения'!$D$43*R27</f>
        <v/>
      </c>
      <c r="S41" s="29">
        <f>$C$9*1000*'Допущения'!$D$42/4*'Допущения'!$D$43*S27</f>
        <v/>
      </c>
      <c r="T41" s="29">
        <f>$C$9*1000*'Допущения'!$D$42/4*'Допущения'!$D$43*T27</f>
        <v/>
      </c>
      <c r="U41" s="29">
        <f>$C$9*1000*'Допущения'!$D$42/4*'Допущения'!$D$43*U27</f>
        <v/>
      </c>
      <c r="V41" s="29">
        <f>$C$9*1000*'Допущения'!$D$42/4*'Допущения'!$D$43*V27</f>
        <v/>
      </c>
      <c r="X41" s="29">
        <f>SUM(C41:F41)</f>
        <v/>
      </c>
      <c r="Y41" s="29">
        <f>SUM(G41:J41)</f>
        <v/>
      </c>
      <c r="Z41" s="29">
        <f>SUM(K41:N41)</f>
        <v/>
      </c>
      <c r="AA41" s="29">
        <f>SUM(O41:R41)</f>
        <v/>
      </c>
      <c r="AB41" s="29">
        <f>SUM(S41:V41)</f>
        <v/>
      </c>
      <c r="AC41" s="37">
        <f>SUM(C41:V41)</f>
        <v/>
      </c>
    </row>
    <row r="42">
      <c r="A42" s="28" t="inlineStr">
        <is>
          <t>5. Экономия контакт-центра</t>
        </is>
      </c>
      <c r="B42" s="28" t="inlineStr">
        <is>
          <t>млн ₽</t>
        </is>
      </c>
      <c r="C42" s="38">
        <f>C41*'Допущения'!$D$31/1000000</f>
        <v/>
      </c>
      <c r="D42" s="38">
        <f>D41*'Допущения'!$D$31/1000000</f>
        <v/>
      </c>
      <c r="E42" s="38">
        <f>E41*'Допущения'!$D$31/1000000</f>
        <v/>
      </c>
      <c r="F42" s="38">
        <f>F41*'Допущения'!$D$31/1000000</f>
        <v/>
      </c>
      <c r="G42" s="38">
        <f>G41*'Допущения'!$D$31/1000000</f>
        <v/>
      </c>
      <c r="H42" s="38">
        <f>H41*'Допущения'!$D$31/1000000</f>
        <v/>
      </c>
      <c r="I42" s="38">
        <f>I41*'Допущения'!$D$31/1000000</f>
        <v/>
      </c>
      <c r="J42" s="38">
        <f>J41*'Допущения'!$D$31/1000000</f>
        <v/>
      </c>
      <c r="K42" s="38">
        <f>K41*'Допущения'!$D$31/1000000</f>
        <v/>
      </c>
      <c r="L42" s="38">
        <f>L41*'Допущения'!$D$31/1000000</f>
        <v/>
      </c>
      <c r="M42" s="38">
        <f>M41*'Допущения'!$D$31/1000000</f>
        <v/>
      </c>
      <c r="N42" s="38">
        <f>N41*'Допущения'!$D$31/1000000</f>
        <v/>
      </c>
      <c r="O42" s="38">
        <f>O41*'Допущения'!$D$31/1000000</f>
        <v/>
      </c>
      <c r="P42" s="38">
        <f>P41*'Допущения'!$D$31/1000000</f>
        <v/>
      </c>
      <c r="Q42" s="38">
        <f>Q41*'Допущения'!$D$31/1000000</f>
        <v/>
      </c>
      <c r="R42" s="38">
        <f>R41*'Допущения'!$D$31/1000000</f>
        <v/>
      </c>
      <c r="S42" s="38">
        <f>S41*'Допущения'!$D$31/1000000</f>
        <v/>
      </c>
      <c r="T42" s="38">
        <f>T41*'Допущения'!$D$31/1000000</f>
        <v/>
      </c>
      <c r="U42" s="38">
        <f>U41*'Допущения'!$D$31/1000000</f>
        <v/>
      </c>
      <c r="V42" s="38">
        <f>V41*'Допущения'!$D$31/1000000</f>
        <v/>
      </c>
      <c r="X42" s="38">
        <f>SUM(C42:F42)</f>
        <v/>
      </c>
      <c r="Y42" s="38">
        <f>SUM(G42:J42)</f>
        <v/>
      </c>
      <c r="Z42" s="38">
        <f>SUM(K42:N42)</f>
        <v/>
      </c>
      <c r="AA42" s="38">
        <f>SUM(O42:R42)</f>
        <v/>
      </c>
      <c r="AB42" s="38">
        <f>SUM(S42:V42)</f>
        <v/>
      </c>
      <c r="AC42" s="39">
        <f>SUM(C42:V42)</f>
        <v/>
      </c>
    </row>
    <row r="43">
      <c r="A43" s="4" t="inlineStr">
        <is>
          <t>Эффект для банка — мост из «Детского банка» и «Пушкинская карта»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28" t="inlineStr">
        <is>
          <t>Мост 14 лет: дополнительно оставшиеся подростки, накопительно</t>
        </is>
      </c>
      <c r="B44" s="28" t="inlineStr">
        <is>
          <t>чел.</t>
        </is>
      </c>
      <c r="C44" s="29">
        <f>$C$20/4*C26</f>
        <v/>
      </c>
      <c r="D44" s="29">
        <f>C44*(1-'Допущения'!$D$25/4)+$C$20/4*D26</f>
        <v/>
      </c>
      <c r="E44" s="29">
        <f>D44*(1-'Допущения'!$D$25/4)+$C$20/4*E26</f>
        <v/>
      </c>
      <c r="F44" s="29">
        <f>E44*(1-'Допущения'!$D$25/4)+$C$20/4*F26</f>
        <v/>
      </c>
      <c r="G44" s="29">
        <f>F44*(1-'Допущения'!$D$25/4)+$C$20/4*G26</f>
        <v/>
      </c>
      <c r="H44" s="29">
        <f>G44*(1-'Допущения'!$D$25/4)+$C$20/4*H26</f>
        <v/>
      </c>
      <c r="I44" s="29">
        <f>H44*(1-'Допущения'!$D$25/4)+$C$20/4*I26</f>
        <v/>
      </c>
      <c r="J44" s="29">
        <f>I44*(1-'Допущения'!$D$25/4)+$C$20/4*J26</f>
        <v/>
      </c>
      <c r="K44" s="29">
        <f>J44*(1-'Допущения'!$D$25/4)+$C$20/4*K26</f>
        <v/>
      </c>
      <c r="L44" s="29">
        <f>K44*(1-'Допущения'!$D$25/4)+$C$20/4*L26</f>
        <v/>
      </c>
      <c r="M44" s="29">
        <f>L44*(1-'Допущения'!$D$25/4)+$C$20/4*M26</f>
        <v/>
      </c>
      <c r="N44" s="29">
        <f>M44*(1-'Допущения'!$D$25/4)+$C$20/4*N26</f>
        <v/>
      </c>
      <c r="O44" s="29">
        <f>N44*(1-'Допущения'!$D$25/4)+$C$20/4*O26</f>
        <v/>
      </c>
      <c r="P44" s="29">
        <f>O44*(1-'Допущения'!$D$25/4)+$C$20/4*P26</f>
        <v/>
      </c>
      <c r="Q44" s="29">
        <f>P44*(1-'Допущения'!$D$25/4)+$C$20/4*Q26</f>
        <v/>
      </c>
      <c r="R44" s="29">
        <f>Q44*(1-'Допущения'!$D$25/4)+$C$20/4*R26</f>
        <v/>
      </c>
      <c r="S44" s="29">
        <f>R44*(1-'Допущения'!$D$25/4)+$C$20/4*S26</f>
        <v/>
      </c>
      <c r="T44" s="29">
        <f>S44*(1-'Допущения'!$D$25/4)+$C$20/4*T26</f>
        <v/>
      </c>
      <c r="U44" s="29">
        <f>T44*(1-'Допущения'!$D$25/4)+$C$20/4*U26</f>
        <v/>
      </c>
      <c r="V44" s="29">
        <f>U44*(1-'Допущения'!$D$25/4)+$C$20/4*V26</f>
        <v/>
      </c>
      <c r="X44" s="29">
        <f>F44</f>
        <v/>
      </c>
      <c r="Y44" s="29">
        <f>J44</f>
        <v/>
      </c>
      <c r="Z44" s="29">
        <f>N44</f>
        <v/>
      </c>
      <c r="AA44" s="29">
        <f>R44</f>
        <v/>
      </c>
      <c r="AB44" s="29">
        <f>V44</f>
        <v/>
      </c>
      <c r="AC44" s="37">
        <f>V44</f>
        <v/>
      </c>
    </row>
    <row r="45">
      <c r="A45" s="28" t="inlineStr">
        <is>
          <t>8. Доход от моста «Детский банк» → «Старт»</t>
        </is>
      </c>
      <c r="B45" s="28" t="inlineStr">
        <is>
          <t>млн ₽</t>
        </is>
      </c>
      <c r="C45" s="38">
        <f>C44*$C$14/4/1000000</f>
        <v/>
      </c>
      <c r="D45" s="38">
        <f>D44*$C$14/4/1000000</f>
        <v/>
      </c>
      <c r="E45" s="38">
        <f>E44*$C$14/4/1000000</f>
        <v/>
      </c>
      <c r="F45" s="38">
        <f>F44*$C$14/4/1000000</f>
        <v/>
      </c>
      <c r="G45" s="38">
        <f>G44*$C$14/4/1000000</f>
        <v/>
      </c>
      <c r="H45" s="38">
        <f>H44*$C$14/4/1000000</f>
        <v/>
      </c>
      <c r="I45" s="38">
        <f>I44*$C$14/4/1000000</f>
        <v/>
      </c>
      <c r="J45" s="38">
        <f>J44*$C$14/4/1000000</f>
        <v/>
      </c>
      <c r="K45" s="38">
        <f>K44*$C$14/4/1000000</f>
        <v/>
      </c>
      <c r="L45" s="38">
        <f>L44*$C$14/4/1000000</f>
        <v/>
      </c>
      <c r="M45" s="38">
        <f>M44*$C$14/4/1000000</f>
        <v/>
      </c>
      <c r="N45" s="38">
        <f>N44*$C$14/4/1000000</f>
        <v/>
      </c>
      <c r="O45" s="38">
        <f>O44*$C$14/4/1000000</f>
        <v/>
      </c>
      <c r="P45" s="38">
        <f>P44*$C$14/4/1000000</f>
        <v/>
      </c>
      <c r="Q45" s="38">
        <f>Q44*$C$14/4/1000000</f>
        <v/>
      </c>
      <c r="R45" s="38">
        <f>R44*$C$14/4/1000000</f>
        <v/>
      </c>
      <c r="S45" s="38">
        <f>S44*$C$14/4/1000000</f>
        <v/>
      </c>
      <c r="T45" s="38">
        <f>T44*$C$14/4/1000000</f>
        <v/>
      </c>
      <c r="U45" s="38">
        <f>U44*$C$14/4/1000000</f>
        <v/>
      </c>
      <c r="V45" s="38">
        <f>V44*$C$14/4/1000000</f>
        <v/>
      </c>
      <c r="X45" s="38">
        <f>SUM(C45:F45)</f>
        <v/>
      </c>
      <c r="Y45" s="38">
        <f>SUM(G45:J45)</f>
        <v/>
      </c>
      <c r="Z45" s="38">
        <f>SUM(K45:N45)</f>
        <v/>
      </c>
      <c r="AA45" s="38">
        <f>SUM(O45:R45)</f>
        <v/>
      </c>
      <c r="AB45" s="38">
        <f>SUM(S45:V45)</f>
        <v/>
      </c>
      <c r="AC45" s="39">
        <f>SUM(C45:V45)</f>
        <v/>
      </c>
    </row>
    <row r="46">
      <c r="A46" s="28" t="inlineStr">
        <is>
          <t>Пушкинская карта: новые клиенты через «Старт», накопительно</t>
        </is>
      </c>
      <c r="B46" s="28" t="inlineStr">
        <is>
          <t>чел.</t>
        </is>
      </c>
      <c r="C46" s="29">
        <f>$C$21/4*C26</f>
        <v/>
      </c>
      <c r="D46" s="29">
        <f>C46*(1-'Допущения'!$D$25/4)+$C$21/4*D26</f>
        <v/>
      </c>
      <c r="E46" s="29">
        <f>D46*(1-'Допущения'!$D$25/4)+$C$21/4*E26</f>
        <v/>
      </c>
      <c r="F46" s="29">
        <f>E46*(1-'Допущения'!$D$25/4)+$C$21/4*F26</f>
        <v/>
      </c>
      <c r="G46" s="29">
        <f>F46*(1-'Допущения'!$D$25/4)+$C$21/4*G26</f>
        <v/>
      </c>
      <c r="H46" s="29">
        <f>G46*(1-'Допущения'!$D$25/4)+$C$21/4*H26</f>
        <v/>
      </c>
      <c r="I46" s="29">
        <f>H46*(1-'Допущения'!$D$25/4)+$C$21/4*I26</f>
        <v/>
      </c>
      <c r="J46" s="29">
        <f>I46*(1-'Допущения'!$D$25/4)+$C$21/4*J26</f>
        <v/>
      </c>
      <c r="K46" s="29">
        <f>J46*(1-'Допущения'!$D$25/4)+$C$21/4*K26</f>
        <v/>
      </c>
      <c r="L46" s="29">
        <f>K46*(1-'Допущения'!$D$25/4)+$C$21/4*L26</f>
        <v/>
      </c>
      <c r="M46" s="29">
        <f>L46*(1-'Допущения'!$D$25/4)+$C$21/4*M26</f>
        <v/>
      </c>
      <c r="N46" s="29">
        <f>M46*(1-'Допущения'!$D$25/4)+$C$21/4*N26</f>
        <v/>
      </c>
      <c r="O46" s="29">
        <f>N46*(1-'Допущения'!$D$25/4)+$C$21/4*O26</f>
        <v/>
      </c>
      <c r="P46" s="29">
        <f>O46*(1-'Допущения'!$D$25/4)+$C$21/4*P26</f>
        <v/>
      </c>
      <c r="Q46" s="29">
        <f>P46*(1-'Допущения'!$D$25/4)+$C$21/4*Q26</f>
        <v/>
      </c>
      <c r="R46" s="29">
        <f>Q46*(1-'Допущения'!$D$25/4)+$C$21/4*R26</f>
        <v/>
      </c>
      <c r="S46" s="29">
        <f>R46*(1-'Допущения'!$D$25/4)+$C$21/4*S26</f>
        <v/>
      </c>
      <c r="T46" s="29">
        <f>S46*(1-'Допущения'!$D$25/4)+$C$21/4*T26</f>
        <v/>
      </c>
      <c r="U46" s="29">
        <f>T46*(1-'Допущения'!$D$25/4)+$C$21/4*U26</f>
        <v/>
      </c>
      <c r="V46" s="29">
        <f>U46*(1-'Допущения'!$D$25/4)+$C$21/4*V26</f>
        <v/>
      </c>
      <c r="X46" s="29">
        <f>F46</f>
        <v/>
      </c>
      <c r="Y46" s="29">
        <f>J46</f>
        <v/>
      </c>
      <c r="Z46" s="29">
        <f>N46</f>
        <v/>
      </c>
      <c r="AA46" s="29">
        <f>R46</f>
        <v/>
      </c>
      <c r="AB46" s="29">
        <f>V46</f>
        <v/>
      </c>
      <c r="AC46" s="37">
        <f>V46</f>
        <v/>
      </c>
    </row>
    <row r="47">
      <c r="A47" s="28" t="inlineStr">
        <is>
          <t>9. Доход от клиентов из «Пушкинской карты»</t>
        </is>
      </c>
      <c r="B47" s="28" t="inlineStr">
        <is>
          <t>млн ₽</t>
        </is>
      </c>
      <c r="C47" s="38">
        <f>C46*$C$14/4/1000000</f>
        <v/>
      </c>
      <c r="D47" s="38">
        <f>D46*$C$14/4/1000000</f>
        <v/>
      </c>
      <c r="E47" s="38">
        <f>E46*$C$14/4/1000000</f>
        <v/>
      </c>
      <c r="F47" s="38">
        <f>F46*$C$14/4/1000000</f>
        <v/>
      </c>
      <c r="G47" s="38">
        <f>G46*$C$14/4/1000000</f>
        <v/>
      </c>
      <c r="H47" s="38">
        <f>H46*$C$14/4/1000000</f>
        <v/>
      </c>
      <c r="I47" s="38">
        <f>I46*$C$14/4/1000000</f>
        <v/>
      </c>
      <c r="J47" s="38">
        <f>J46*$C$14/4/1000000</f>
        <v/>
      </c>
      <c r="K47" s="38">
        <f>K46*$C$14/4/1000000</f>
        <v/>
      </c>
      <c r="L47" s="38">
        <f>L46*$C$14/4/1000000</f>
        <v/>
      </c>
      <c r="M47" s="38">
        <f>M46*$C$14/4/1000000</f>
        <v/>
      </c>
      <c r="N47" s="38">
        <f>N46*$C$14/4/1000000</f>
        <v/>
      </c>
      <c r="O47" s="38">
        <f>O46*$C$14/4/1000000</f>
        <v/>
      </c>
      <c r="P47" s="38">
        <f>P46*$C$14/4/1000000</f>
        <v/>
      </c>
      <c r="Q47" s="38">
        <f>Q46*$C$14/4/1000000</f>
        <v/>
      </c>
      <c r="R47" s="38">
        <f>R46*$C$14/4/1000000</f>
        <v/>
      </c>
      <c r="S47" s="38">
        <f>S46*$C$14/4/1000000</f>
        <v/>
      </c>
      <c r="T47" s="38">
        <f>T46*$C$14/4/1000000</f>
        <v/>
      </c>
      <c r="U47" s="38">
        <f>U46*$C$14/4/1000000</f>
        <v/>
      </c>
      <c r="V47" s="38">
        <f>V46*$C$14/4/1000000</f>
        <v/>
      </c>
      <c r="X47" s="38">
        <f>SUM(C47:F47)</f>
        <v/>
      </c>
      <c r="Y47" s="38">
        <f>SUM(G47:J47)</f>
        <v/>
      </c>
      <c r="Z47" s="38">
        <f>SUM(K47:N47)</f>
        <v/>
      </c>
      <c r="AA47" s="38">
        <f>SUM(O47:R47)</f>
        <v/>
      </c>
      <c r="AB47" s="38">
        <f>SUM(S47:V47)</f>
        <v/>
      </c>
      <c r="AC47" s="39">
        <f>SUM(C47:V47)</f>
        <v/>
      </c>
    </row>
    <row r="48">
      <c r="A48" s="4" t="inlineStr">
        <is>
          <t>Эффект для банка — этап 2: перехват для клиентов 23+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28" t="inlineStr">
        <is>
          <t>Предотвращённые дроп-кейсы 23+</t>
        </is>
      </c>
      <c r="B49" s="28" t="inlineStr">
        <is>
          <t>шт.</t>
        </is>
      </c>
      <c r="C49" s="29">
        <f>$C$18/4*'Допущения'!$D$52*C28</f>
        <v/>
      </c>
      <c r="D49" s="29">
        <f>$C$18/4*'Допущения'!$D$52*D28</f>
        <v/>
      </c>
      <c r="E49" s="29">
        <f>$C$18/4*'Допущения'!$D$52*E28</f>
        <v/>
      </c>
      <c r="F49" s="29">
        <f>$C$18/4*'Допущения'!$D$52*F28</f>
        <v/>
      </c>
      <c r="G49" s="29">
        <f>$C$18/4*'Допущения'!$D$52*G28</f>
        <v/>
      </c>
      <c r="H49" s="29">
        <f>$C$18/4*'Допущения'!$D$52*H28</f>
        <v/>
      </c>
      <c r="I49" s="29">
        <f>$C$18/4*'Допущения'!$D$52*I28</f>
        <v/>
      </c>
      <c r="J49" s="29">
        <f>$C$18/4*'Допущения'!$D$52*J28</f>
        <v/>
      </c>
      <c r="K49" s="29">
        <f>$C$18/4*'Допущения'!$D$52*K28</f>
        <v/>
      </c>
      <c r="L49" s="29">
        <f>$C$18/4*'Допущения'!$D$52*L28</f>
        <v/>
      </c>
      <c r="M49" s="29">
        <f>$C$18/4*'Допущения'!$D$52*M28</f>
        <v/>
      </c>
      <c r="N49" s="29">
        <f>$C$18/4*'Допущения'!$D$52*N28</f>
        <v/>
      </c>
      <c r="O49" s="29">
        <f>$C$18/4*'Допущения'!$D$52*O28</f>
        <v/>
      </c>
      <c r="P49" s="29">
        <f>$C$18/4*'Допущения'!$D$52*P28</f>
        <v/>
      </c>
      <c r="Q49" s="29">
        <f>$C$18/4*'Допущения'!$D$52*Q28</f>
        <v/>
      </c>
      <c r="R49" s="29">
        <f>$C$18/4*'Допущения'!$D$52*R28</f>
        <v/>
      </c>
      <c r="S49" s="29">
        <f>$C$18/4*'Допущения'!$D$52*S28</f>
        <v/>
      </c>
      <c r="T49" s="29">
        <f>$C$18/4*'Допущения'!$D$52*T28</f>
        <v/>
      </c>
      <c r="U49" s="29">
        <f>$C$18/4*'Допущения'!$D$52*U28</f>
        <v/>
      </c>
      <c r="V49" s="29">
        <f>$C$18/4*'Допущения'!$D$52*V28</f>
        <v/>
      </c>
      <c r="X49" s="29">
        <f>SUM(C49:F49)</f>
        <v/>
      </c>
      <c r="Y49" s="29">
        <f>SUM(G49:J49)</f>
        <v/>
      </c>
      <c r="Z49" s="29">
        <f>SUM(K49:N49)</f>
        <v/>
      </c>
      <c r="AA49" s="29">
        <f>SUM(O49:R49)</f>
        <v/>
      </c>
      <c r="AB49" s="29">
        <f>SUM(S49:V49)</f>
        <v/>
      </c>
      <c r="AC49" s="37">
        <f>SUM(C49:V49)</f>
        <v/>
      </c>
    </row>
    <row r="50">
      <c r="A50" s="28" t="inlineStr">
        <is>
          <t>6. Экономия на разборе дроп-кейсов 23+</t>
        </is>
      </c>
      <c r="B50" s="28" t="inlineStr">
        <is>
          <t>млн ₽</t>
        </is>
      </c>
      <c r="C50" s="38">
        <f>C49*$C$15/1000000</f>
        <v/>
      </c>
      <c r="D50" s="38">
        <f>D49*$C$15/1000000</f>
        <v/>
      </c>
      <c r="E50" s="38">
        <f>E49*$C$15/1000000</f>
        <v/>
      </c>
      <c r="F50" s="38">
        <f>F49*$C$15/1000000</f>
        <v/>
      </c>
      <c r="G50" s="38">
        <f>G49*$C$15/1000000</f>
        <v/>
      </c>
      <c r="H50" s="38">
        <f>H49*$C$15/1000000</f>
        <v/>
      </c>
      <c r="I50" s="38">
        <f>I49*$C$15/1000000</f>
        <v/>
      </c>
      <c r="J50" s="38">
        <f>J49*$C$15/1000000</f>
        <v/>
      </c>
      <c r="K50" s="38">
        <f>K49*$C$15/1000000</f>
        <v/>
      </c>
      <c r="L50" s="38">
        <f>L49*$C$15/1000000</f>
        <v/>
      </c>
      <c r="M50" s="38">
        <f>M49*$C$15/1000000</f>
        <v/>
      </c>
      <c r="N50" s="38">
        <f>N49*$C$15/1000000</f>
        <v/>
      </c>
      <c r="O50" s="38">
        <f>O49*$C$15/1000000</f>
        <v/>
      </c>
      <c r="P50" s="38">
        <f>P49*$C$15/1000000</f>
        <v/>
      </c>
      <c r="Q50" s="38">
        <f>Q49*$C$15/1000000</f>
        <v/>
      </c>
      <c r="R50" s="38">
        <f>R49*$C$15/1000000</f>
        <v/>
      </c>
      <c r="S50" s="38">
        <f>S49*$C$15/1000000</f>
        <v/>
      </c>
      <c r="T50" s="38">
        <f>T49*$C$15/1000000</f>
        <v/>
      </c>
      <c r="U50" s="38">
        <f>U49*$C$15/1000000</f>
        <v/>
      </c>
      <c r="V50" s="38">
        <f>V49*$C$15/1000000</f>
        <v/>
      </c>
      <c r="X50" s="38">
        <f>SUM(C50:F50)</f>
        <v/>
      </c>
      <c r="Y50" s="38">
        <f>SUM(G50:J50)</f>
        <v/>
      </c>
      <c r="Z50" s="38">
        <f>SUM(K50:N50)</f>
        <v/>
      </c>
      <c r="AA50" s="38">
        <f>SUM(O50:R50)</f>
        <v/>
      </c>
      <c r="AB50" s="38">
        <f>SUM(S50:V50)</f>
        <v/>
      </c>
      <c r="AC50" s="39">
        <f>SUM(C50:V50)</f>
        <v/>
      </c>
    </row>
    <row r="51">
      <c r="A51" s="28" t="inlineStr">
        <is>
          <t>Сохранённые взрослые клиенты, накопительно</t>
        </is>
      </c>
      <c r="B51" s="28" t="inlineStr">
        <is>
          <t>чел.</t>
        </is>
      </c>
      <c r="C51" s="29">
        <f>C49*'Допущения'!$D$35</f>
        <v/>
      </c>
      <c r="D51" s="29">
        <f>C51*(1-'Допущения'!$D$54/4)+D49*'Допущения'!$D$35</f>
        <v/>
      </c>
      <c r="E51" s="29">
        <f>D51*(1-'Допущения'!$D$54/4)+E49*'Допущения'!$D$35</f>
        <v/>
      </c>
      <c r="F51" s="29">
        <f>E51*(1-'Допущения'!$D$54/4)+F49*'Допущения'!$D$35</f>
        <v/>
      </c>
      <c r="G51" s="29">
        <f>F51*(1-'Допущения'!$D$54/4)+G49*'Допущения'!$D$35</f>
        <v/>
      </c>
      <c r="H51" s="29">
        <f>G51*(1-'Допущения'!$D$54/4)+H49*'Допущения'!$D$35</f>
        <v/>
      </c>
      <c r="I51" s="29">
        <f>H51*(1-'Допущения'!$D$54/4)+I49*'Допущения'!$D$35</f>
        <v/>
      </c>
      <c r="J51" s="29">
        <f>I51*(1-'Допущения'!$D$54/4)+J49*'Допущения'!$D$35</f>
        <v/>
      </c>
      <c r="K51" s="29">
        <f>J51*(1-'Допущения'!$D$54/4)+K49*'Допущения'!$D$35</f>
        <v/>
      </c>
      <c r="L51" s="29">
        <f>K51*(1-'Допущения'!$D$54/4)+L49*'Допущения'!$D$35</f>
        <v/>
      </c>
      <c r="M51" s="29">
        <f>L51*(1-'Допущения'!$D$54/4)+M49*'Допущения'!$D$35</f>
        <v/>
      </c>
      <c r="N51" s="29">
        <f>M51*(1-'Допущения'!$D$54/4)+N49*'Допущения'!$D$35</f>
        <v/>
      </c>
      <c r="O51" s="29">
        <f>N51*(1-'Допущения'!$D$54/4)+O49*'Допущения'!$D$35</f>
        <v/>
      </c>
      <c r="P51" s="29">
        <f>O51*(1-'Допущения'!$D$54/4)+P49*'Допущения'!$D$35</f>
        <v/>
      </c>
      <c r="Q51" s="29">
        <f>P51*(1-'Допущения'!$D$54/4)+Q49*'Допущения'!$D$35</f>
        <v/>
      </c>
      <c r="R51" s="29">
        <f>Q51*(1-'Допущения'!$D$54/4)+R49*'Допущения'!$D$35</f>
        <v/>
      </c>
      <c r="S51" s="29">
        <f>R51*(1-'Допущения'!$D$54/4)+S49*'Допущения'!$D$35</f>
        <v/>
      </c>
      <c r="T51" s="29">
        <f>S51*(1-'Допущения'!$D$54/4)+T49*'Допущения'!$D$35</f>
        <v/>
      </c>
      <c r="U51" s="29">
        <f>T51*(1-'Допущения'!$D$54/4)+U49*'Допущения'!$D$35</f>
        <v/>
      </c>
      <c r="V51" s="29">
        <f>U51*(1-'Допущения'!$D$54/4)+V49*'Допущения'!$D$35</f>
        <v/>
      </c>
      <c r="X51" s="29">
        <f>F51</f>
        <v/>
      </c>
      <c r="Y51" s="29">
        <f>J51</f>
        <v/>
      </c>
      <c r="Z51" s="29">
        <f>N51</f>
        <v/>
      </c>
      <c r="AA51" s="29">
        <f>R51</f>
        <v/>
      </c>
      <c r="AB51" s="29">
        <f>V51</f>
        <v/>
      </c>
      <c r="AC51" s="37">
        <f>V51</f>
        <v/>
      </c>
    </row>
    <row r="52">
      <c r="A52" s="28" t="inlineStr">
        <is>
          <t>7. Доход от сохранённых взрослых клиентов</t>
        </is>
      </c>
      <c r="B52" s="28" t="inlineStr">
        <is>
          <t>млн ₽</t>
        </is>
      </c>
      <c r="C52" s="38">
        <f>C51*'Допущения'!$D$53/4/1000000</f>
        <v/>
      </c>
      <c r="D52" s="38">
        <f>D51*'Допущения'!$D$53/4/1000000</f>
        <v/>
      </c>
      <c r="E52" s="38">
        <f>E51*'Допущения'!$D$53/4/1000000</f>
        <v/>
      </c>
      <c r="F52" s="38">
        <f>F51*'Допущения'!$D$53/4/1000000</f>
        <v/>
      </c>
      <c r="G52" s="38">
        <f>G51*'Допущения'!$D$53/4/1000000</f>
        <v/>
      </c>
      <c r="H52" s="38">
        <f>H51*'Допущения'!$D$53/4/1000000</f>
        <v/>
      </c>
      <c r="I52" s="38">
        <f>I51*'Допущения'!$D$53/4/1000000</f>
        <v/>
      </c>
      <c r="J52" s="38">
        <f>J51*'Допущения'!$D$53/4/1000000</f>
        <v/>
      </c>
      <c r="K52" s="38">
        <f>K51*'Допущения'!$D$53/4/1000000</f>
        <v/>
      </c>
      <c r="L52" s="38">
        <f>L51*'Допущения'!$D$53/4/1000000</f>
        <v/>
      </c>
      <c r="M52" s="38">
        <f>M51*'Допущения'!$D$53/4/1000000</f>
        <v/>
      </c>
      <c r="N52" s="38">
        <f>N51*'Допущения'!$D$53/4/1000000</f>
        <v/>
      </c>
      <c r="O52" s="38">
        <f>O51*'Допущения'!$D$53/4/1000000</f>
        <v/>
      </c>
      <c r="P52" s="38">
        <f>P51*'Допущения'!$D$53/4/1000000</f>
        <v/>
      </c>
      <c r="Q52" s="38">
        <f>Q51*'Допущения'!$D$53/4/1000000</f>
        <v/>
      </c>
      <c r="R52" s="38">
        <f>R51*'Допущения'!$D$53/4/1000000</f>
        <v/>
      </c>
      <c r="S52" s="38">
        <f>S51*'Допущения'!$D$53/4/1000000</f>
        <v/>
      </c>
      <c r="T52" s="38">
        <f>T51*'Допущения'!$D$53/4/1000000</f>
        <v/>
      </c>
      <c r="U52" s="38">
        <f>U51*'Допущения'!$D$53/4/1000000</f>
        <v/>
      </c>
      <c r="V52" s="38">
        <f>V51*'Допущения'!$D$53/4/1000000</f>
        <v/>
      </c>
      <c r="X52" s="38">
        <f>SUM(C52:F52)</f>
        <v/>
      </c>
      <c r="Y52" s="38">
        <f>SUM(G52:J52)</f>
        <v/>
      </c>
      <c r="Z52" s="38">
        <f>SUM(K52:N52)</f>
        <v/>
      </c>
      <c r="AA52" s="38">
        <f>SUM(O52:R52)</f>
        <v/>
      </c>
      <c r="AB52" s="38">
        <f>SUM(S52:V52)</f>
        <v/>
      </c>
      <c r="AC52" s="39">
        <f>SUM(C52:V52)</f>
        <v/>
      </c>
    </row>
    <row r="53">
      <c r="A53" s="40" t="inlineStr">
        <is>
          <t>ИТОГО ЭФФЕКТ</t>
        </is>
      </c>
      <c r="B53" s="41" t="inlineStr">
        <is>
          <t>млн ₽</t>
        </is>
      </c>
      <c r="C53" s="42">
        <f>C34+C36+C38+C40+C42+C45+C47+C50+C52</f>
        <v/>
      </c>
      <c r="D53" s="42">
        <f>D34+D36+D38+D40+D42+D45+D47+D50+D52</f>
        <v/>
      </c>
      <c r="E53" s="42">
        <f>E34+E36+E38+E40+E42+E45+E47+E50+E52</f>
        <v/>
      </c>
      <c r="F53" s="42">
        <f>F34+F36+F38+F40+F42+F45+F47+F50+F52</f>
        <v/>
      </c>
      <c r="G53" s="42">
        <f>G34+G36+G38+G40+G42+G45+G47+G50+G52</f>
        <v/>
      </c>
      <c r="H53" s="42">
        <f>H34+H36+H38+H40+H42+H45+H47+H50+H52</f>
        <v/>
      </c>
      <c r="I53" s="42">
        <f>I34+I36+I38+I40+I42+I45+I47+I50+I52</f>
        <v/>
      </c>
      <c r="J53" s="42">
        <f>J34+J36+J38+J40+J42+J45+J47+J50+J52</f>
        <v/>
      </c>
      <c r="K53" s="42">
        <f>K34+K36+K38+K40+K42+K45+K47+K50+K52</f>
        <v/>
      </c>
      <c r="L53" s="42">
        <f>L34+L36+L38+L40+L42+L45+L47+L50+L52</f>
        <v/>
      </c>
      <c r="M53" s="42">
        <f>M34+M36+M38+M40+M42+M45+M47+M50+M52</f>
        <v/>
      </c>
      <c r="N53" s="42">
        <f>N34+N36+N38+N40+N42+N45+N47+N50+N52</f>
        <v/>
      </c>
      <c r="O53" s="42">
        <f>O34+O36+O38+O40+O42+O45+O47+O50+O52</f>
        <v/>
      </c>
      <c r="P53" s="42">
        <f>P34+P36+P38+P40+P42+P45+P47+P50+P52</f>
        <v/>
      </c>
      <c r="Q53" s="42">
        <f>Q34+Q36+Q38+Q40+Q42+Q45+Q47+Q50+Q52</f>
        <v/>
      </c>
      <c r="R53" s="42">
        <f>R34+R36+R38+R40+R42+R45+R47+R50+R52</f>
        <v/>
      </c>
      <c r="S53" s="42">
        <f>S34+S36+S38+S40+S42+S45+S47+S50+S52</f>
        <v/>
      </c>
      <c r="T53" s="42">
        <f>T34+T36+T38+T40+T42+T45+T47+T50+T52</f>
        <v/>
      </c>
      <c r="U53" s="42">
        <f>U34+U36+U38+U40+U42+U45+U47+U50+U52</f>
        <v/>
      </c>
      <c r="V53" s="42">
        <f>V34+V36+V38+V40+V42+V45+V47+V50+V52</f>
        <v/>
      </c>
      <c r="X53" s="42">
        <f>SUM(C53:F53)</f>
        <v/>
      </c>
      <c r="Y53" s="42">
        <f>SUM(G53:J53)</f>
        <v/>
      </c>
      <c r="Z53" s="42">
        <f>SUM(K53:N53)</f>
        <v/>
      </c>
      <c r="AA53" s="42">
        <f>SUM(O53:R53)</f>
        <v/>
      </c>
      <c r="AB53" s="42">
        <f>SUM(S53:V53)</f>
        <v/>
      </c>
      <c r="AC53" s="42">
        <f>SUM(C53:V53)</f>
        <v/>
      </c>
    </row>
    <row r="54">
      <c r="A54" s="4" t="inlineStr">
        <is>
          <t>Затраты на внедрение и поддержку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28" t="inlineStr">
        <is>
          <t>Команда: разработка и пилот</t>
        </is>
      </c>
      <c r="B55" s="28" t="inlineStr">
        <is>
          <t>млн ₽</t>
        </is>
      </c>
      <c r="C55" s="38">
        <f>C25*SUMPRODUCT('Допущения'!$C$85:$C$93,'Допущения'!$B$85:$B$93)*1000*$C$17*3/1000000</f>
        <v/>
      </c>
      <c r="D55" s="38">
        <f>D25*SUMPRODUCT('Допущения'!$C$85:$C$93,'Допущения'!$B$85:$B$93)*1000*$C$17*3/1000000</f>
        <v/>
      </c>
      <c r="E55" s="38">
        <f>E25*SUMPRODUCT('Допущения'!$C$85:$C$93,'Допущения'!$B$85:$B$93)*1000*$C$17*3/1000000</f>
        <v/>
      </c>
      <c r="F55" s="38">
        <f>F25*SUMPRODUCT('Допущения'!$C$85:$C$93,'Допущения'!$B$85:$B$93)*1000*$C$17*3/1000000</f>
        <v/>
      </c>
      <c r="G55" s="38">
        <f>G25*SUMPRODUCT('Допущения'!$C$85:$C$93,'Допущения'!$B$85:$B$93)*1000*$C$17*3/1000000</f>
        <v/>
      </c>
      <c r="H55" s="38">
        <f>H25*SUMPRODUCT('Допущения'!$C$85:$C$93,'Допущения'!$B$85:$B$93)*1000*$C$17*3/1000000</f>
        <v/>
      </c>
      <c r="I55" s="38">
        <f>I25*SUMPRODUCT('Допущения'!$C$85:$C$93,'Допущения'!$B$85:$B$93)*1000*$C$17*3/1000000</f>
        <v/>
      </c>
      <c r="J55" s="38">
        <f>J25*SUMPRODUCT('Допущения'!$C$85:$C$93,'Допущения'!$B$85:$B$93)*1000*$C$17*3/1000000</f>
        <v/>
      </c>
      <c r="K55" s="38">
        <f>K25*SUMPRODUCT('Допущения'!$C$85:$C$93,'Допущения'!$B$85:$B$93)*1000*$C$17*3/1000000</f>
        <v/>
      </c>
      <c r="L55" s="38">
        <f>L25*SUMPRODUCT('Допущения'!$C$85:$C$93,'Допущения'!$B$85:$B$93)*1000*$C$17*3/1000000</f>
        <v/>
      </c>
      <c r="M55" s="38">
        <f>M25*SUMPRODUCT('Допущения'!$C$85:$C$93,'Допущения'!$B$85:$B$93)*1000*$C$17*3/1000000</f>
        <v/>
      </c>
      <c r="N55" s="38">
        <f>N25*SUMPRODUCT('Допущения'!$C$85:$C$93,'Допущения'!$B$85:$B$93)*1000*$C$17*3/1000000</f>
        <v/>
      </c>
      <c r="O55" s="38">
        <f>O25*SUMPRODUCT('Допущения'!$C$85:$C$93,'Допущения'!$B$85:$B$93)*1000*$C$17*3/1000000</f>
        <v/>
      </c>
      <c r="P55" s="38">
        <f>P25*SUMPRODUCT('Допущения'!$C$85:$C$93,'Допущения'!$B$85:$B$93)*1000*$C$17*3/1000000</f>
        <v/>
      </c>
      <c r="Q55" s="38">
        <f>Q25*SUMPRODUCT('Допущения'!$C$85:$C$93,'Допущения'!$B$85:$B$93)*1000*$C$17*3/1000000</f>
        <v/>
      </c>
      <c r="R55" s="38">
        <f>R25*SUMPRODUCT('Допущения'!$C$85:$C$93,'Допущения'!$B$85:$B$93)*1000*$C$17*3/1000000</f>
        <v/>
      </c>
      <c r="S55" s="38">
        <f>S25*SUMPRODUCT('Допущения'!$C$85:$C$93,'Допущения'!$B$85:$B$93)*1000*$C$17*3/1000000</f>
        <v/>
      </c>
      <c r="T55" s="38">
        <f>T25*SUMPRODUCT('Допущения'!$C$85:$C$93,'Допущения'!$B$85:$B$93)*1000*$C$17*3/1000000</f>
        <v/>
      </c>
      <c r="U55" s="38">
        <f>U25*SUMPRODUCT('Допущения'!$C$85:$C$93,'Допущения'!$B$85:$B$93)*1000*$C$17*3/1000000</f>
        <v/>
      </c>
      <c r="V55" s="38">
        <f>V25*SUMPRODUCT('Допущения'!$C$85:$C$93,'Допущения'!$B$85:$B$93)*1000*$C$17*3/1000000</f>
        <v/>
      </c>
      <c r="X55" s="38">
        <f>SUM(C55:F55)</f>
        <v/>
      </c>
      <c r="Y55" s="38">
        <f>SUM(G55:J55)</f>
        <v/>
      </c>
      <c r="Z55" s="38">
        <f>SUM(K55:N55)</f>
        <v/>
      </c>
      <c r="AA55" s="38">
        <f>SUM(O55:R55)</f>
        <v/>
      </c>
      <c r="AB55" s="38">
        <f>SUM(S55:V55)</f>
        <v/>
      </c>
      <c r="AC55" s="39">
        <f>SUM(C55:V55)</f>
        <v/>
      </c>
    </row>
    <row r="56">
      <c r="A56" s="28" t="inlineStr">
        <is>
          <t>Команда: эксплуатация и развитие</t>
        </is>
      </c>
      <c r="B56" s="28" t="inlineStr">
        <is>
          <t>млн ₽</t>
        </is>
      </c>
      <c r="C56" s="38">
        <f>(1-C25)*SUMPRODUCT('Допущения'!$D$85:$D$93,'Допущения'!$B$85:$B$93)*1000*$C$17*3/1000000</f>
        <v/>
      </c>
      <c r="D56" s="38">
        <f>(1-D25)*SUMPRODUCT('Допущения'!$D$85:$D$93,'Допущения'!$B$85:$B$93)*1000*$C$17*3/1000000</f>
        <v/>
      </c>
      <c r="E56" s="38">
        <f>(1-E25)*SUMPRODUCT('Допущения'!$D$85:$D$93,'Допущения'!$B$85:$B$93)*1000*$C$17*3/1000000</f>
        <v/>
      </c>
      <c r="F56" s="38">
        <f>(1-F25)*SUMPRODUCT('Допущения'!$D$85:$D$93,'Допущения'!$B$85:$B$93)*1000*$C$17*3/1000000</f>
        <v/>
      </c>
      <c r="G56" s="38">
        <f>(1-G25)*SUMPRODUCT('Допущения'!$D$85:$D$93,'Допущения'!$B$85:$B$93)*1000*$C$17*3/1000000</f>
        <v/>
      </c>
      <c r="H56" s="38">
        <f>(1-H25)*SUMPRODUCT('Допущения'!$D$85:$D$93,'Допущения'!$B$85:$B$93)*1000*$C$17*3/1000000</f>
        <v/>
      </c>
      <c r="I56" s="38">
        <f>(1-I25)*SUMPRODUCT('Допущения'!$D$85:$D$93,'Допущения'!$B$85:$B$93)*1000*$C$17*3/1000000</f>
        <v/>
      </c>
      <c r="J56" s="38">
        <f>(1-J25)*SUMPRODUCT('Допущения'!$D$85:$D$93,'Допущения'!$B$85:$B$93)*1000*$C$17*3/1000000</f>
        <v/>
      </c>
      <c r="K56" s="38">
        <f>(1-K25)*SUMPRODUCT('Допущения'!$D$85:$D$93,'Допущения'!$B$85:$B$93)*1000*$C$17*3/1000000</f>
        <v/>
      </c>
      <c r="L56" s="38">
        <f>(1-L25)*SUMPRODUCT('Допущения'!$D$85:$D$93,'Допущения'!$B$85:$B$93)*1000*$C$17*3/1000000</f>
        <v/>
      </c>
      <c r="M56" s="38">
        <f>(1-M25)*SUMPRODUCT('Допущения'!$D$85:$D$93,'Допущения'!$B$85:$B$93)*1000*$C$17*3/1000000</f>
        <v/>
      </c>
      <c r="N56" s="38">
        <f>(1-N25)*SUMPRODUCT('Допущения'!$D$85:$D$93,'Допущения'!$B$85:$B$93)*1000*$C$17*3/1000000</f>
        <v/>
      </c>
      <c r="O56" s="38">
        <f>(1-O25)*SUMPRODUCT('Допущения'!$D$85:$D$93,'Допущения'!$B$85:$B$93)*1000*$C$17*3/1000000</f>
        <v/>
      </c>
      <c r="P56" s="38">
        <f>(1-P25)*SUMPRODUCT('Допущения'!$D$85:$D$93,'Допущения'!$B$85:$B$93)*1000*$C$17*3/1000000</f>
        <v/>
      </c>
      <c r="Q56" s="38">
        <f>(1-Q25)*SUMPRODUCT('Допущения'!$D$85:$D$93,'Допущения'!$B$85:$B$93)*1000*$C$17*3/1000000</f>
        <v/>
      </c>
      <c r="R56" s="38">
        <f>(1-R25)*SUMPRODUCT('Допущения'!$D$85:$D$93,'Допущения'!$B$85:$B$93)*1000*$C$17*3/1000000</f>
        <v/>
      </c>
      <c r="S56" s="38">
        <f>(1-S25)*SUMPRODUCT('Допущения'!$D$85:$D$93,'Допущения'!$B$85:$B$93)*1000*$C$17*3/1000000</f>
        <v/>
      </c>
      <c r="T56" s="38">
        <f>(1-T25)*SUMPRODUCT('Допущения'!$D$85:$D$93,'Допущения'!$B$85:$B$93)*1000*$C$17*3/1000000</f>
        <v/>
      </c>
      <c r="U56" s="38">
        <f>(1-U25)*SUMPRODUCT('Допущения'!$D$85:$D$93,'Допущения'!$B$85:$B$93)*1000*$C$17*3/1000000</f>
        <v/>
      </c>
      <c r="V56" s="38">
        <f>(1-V25)*SUMPRODUCT('Допущения'!$D$85:$D$93,'Допущения'!$B$85:$B$93)*1000*$C$17*3/1000000</f>
        <v/>
      </c>
      <c r="X56" s="38">
        <f>SUM(C56:F56)</f>
        <v/>
      </c>
      <c r="Y56" s="38">
        <f>SUM(G56:J56)</f>
        <v/>
      </c>
      <c r="Z56" s="38">
        <f>SUM(K56:N56)</f>
        <v/>
      </c>
      <c r="AA56" s="38">
        <f>SUM(O56:R56)</f>
        <v/>
      </c>
      <c r="AB56" s="38">
        <f>SUM(S56:V56)</f>
        <v/>
      </c>
      <c r="AC56" s="39">
        <f>SUM(C56:V56)</f>
        <v/>
      </c>
    </row>
    <row r="57">
      <c r="A57" s="28" t="inlineStr">
        <is>
          <t>Инфраструктура, ИБ, контент, маркетинг (график)</t>
        </is>
      </c>
      <c r="B57" s="28" t="inlineStr">
        <is>
          <t>млн ₽</t>
        </is>
      </c>
      <c r="C57" s="38">
        <f>SUM('Допущения'!C$101:C$106)</f>
        <v/>
      </c>
      <c r="D57" s="38">
        <f>SUM('Допущения'!D$101:D$106)</f>
        <v/>
      </c>
      <c r="E57" s="38">
        <f>SUM('Допущения'!E$101:E$106)</f>
        <v/>
      </c>
      <c r="F57" s="38">
        <f>SUM('Допущения'!F$101:F$106)</f>
        <v/>
      </c>
      <c r="G57" s="38">
        <f>SUM('Допущения'!G$101:G$106)</f>
        <v/>
      </c>
      <c r="H57" s="38">
        <f>SUM('Допущения'!H$101:H$106)</f>
        <v/>
      </c>
      <c r="I57" s="38">
        <f>SUM('Допущения'!I$101:I$106)</f>
        <v/>
      </c>
      <c r="J57" s="38">
        <f>SUM('Допущения'!J$101:J$106)</f>
        <v/>
      </c>
      <c r="K57" s="38">
        <f>SUM('Допущения'!K$101:K$106)</f>
        <v/>
      </c>
      <c r="L57" s="38">
        <f>SUM('Допущения'!L$101:L$106)</f>
        <v/>
      </c>
      <c r="M57" s="38">
        <f>SUM('Допущения'!M$101:M$106)</f>
        <v/>
      </c>
      <c r="N57" s="38">
        <f>SUM('Допущения'!N$101:N$106)</f>
        <v/>
      </c>
      <c r="O57" s="38">
        <f>SUM('Допущения'!O$101:O$106)</f>
        <v/>
      </c>
      <c r="P57" s="38">
        <f>SUM('Допущения'!P$101:P$106)</f>
        <v/>
      </c>
      <c r="Q57" s="38">
        <f>SUM('Допущения'!Q$101:Q$106)</f>
        <v/>
      </c>
      <c r="R57" s="38">
        <f>SUM('Допущения'!R$101:R$106)</f>
        <v/>
      </c>
      <c r="S57" s="38">
        <f>SUM('Допущения'!S$101:S$106)</f>
        <v/>
      </c>
      <c r="T57" s="38">
        <f>SUM('Допущения'!T$101:T$106)</f>
        <v/>
      </c>
      <c r="U57" s="38">
        <f>SUM('Допущения'!U$101:U$106)</f>
        <v/>
      </c>
      <c r="V57" s="38">
        <f>SUM('Допущения'!V$101:V$106)</f>
        <v/>
      </c>
      <c r="X57" s="38">
        <f>SUM(C57:F57)</f>
        <v/>
      </c>
      <c r="Y57" s="38">
        <f>SUM(G57:J57)</f>
        <v/>
      </c>
      <c r="Z57" s="38">
        <f>SUM(K57:N57)</f>
        <v/>
      </c>
      <c r="AA57" s="38">
        <f>SUM(O57:R57)</f>
        <v/>
      </c>
      <c r="AB57" s="38">
        <f>SUM(S57:V57)</f>
        <v/>
      </c>
      <c r="AC57" s="39">
        <f>SUM(C57:V57)</f>
        <v/>
      </c>
    </row>
    <row r="58">
      <c r="A58" s="28" t="inlineStr">
        <is>
          <t>Мост и «Пушкинская карта»: интеграция и поддержка</t>
        </is>
      </c>
      <c r="B58" s="28" t="inlineStr">
        <is>
          <t>млн ₽</t>
        </is>
      </c>
      <c r="C58" s="38">
        <f>'Допущения'!C$108*'Допущения'!$D$62+'Допущения'!C$109*'Допущения'!$D$66</f>
        <v/>
      </c>
      <c r="D58" s="38">
        <f>'Допущения'!D$108*'Допущения'!$D$62+'Допущения'!D$109*'Допущения'!$D$66</f>
        <v/>
      </c>
      <c r="E58" s="38">
        <f>'Допущения'!E$108*'Допущения'!$D$62+'Допущения'!E$109*'Допущения'!$D$66</f>
        <v/>
      </c>
      <c r="F58" s="38">
        <f>'Допущения'!F$108*'Допущения'!$D$62+'Допущения'!F$109*'Допущения'!$D$66</f>
        <v/>
      </c>
      <c r="G58" s="38">
        <f>'Допущения'!G$108*'Допущения'!$D$62+'Допущения'!G$109*'Допущения'!$D$66</f>
        <v/>
      </c>
      <c r="H58" s="38">
        <f>'Допущения'!H$108*'Допущения'!$D$62+'Допущения'!H$109*'Допущения'!$D$66</f>
        <v/>
      </c>
      <c r="I58" s="38">
        <f>'Допущения'!I$108*'Допущения'!$D$62+'Допущения'!I$109*'Допущения'!$D$66</f>
        <v/>
      </c>
      <c r="J58" s="38">
        <f>'Допущения'!J$108*'Допущения'!$D$62+'Допущения'!J$109*'Допущения'!$D$66</f>
        <v/>
      </c>
      <c r="K58" s="38">
        <f>'Допущения'!K$108*'Допущения'!$D$62+'Допущения'!K$109*'Допущения'!$D$66</f>
        <v/>
      </c>
      <c r="L58" s="38">
        <f>'Допущения'!L$108*'Допущения'!$D$62+'Допущения'!L$109*'Допущения'!$D$66</f>
        <v/>
      </c>
      <c r="M58" s="38">
        <f>'Допущения'!M$108*'Допущения'!$D$62+'Допущения'!M$109*'Допущения'!$D$66</f>
        <v/>
      </c>
      <c r="N58" s="38">
        <f>'Допущения'!N$108*'Допущения'!$D$62+'Допущения'!N$109*'Допущения'!$D$66</f>
        <v/>
      </c>
      <c r="O58" s="38">
        <f>'Допущения'!O$108*'Допущения'!$D$62+'Допущения'!O$109*'Допущения'!$D$66</f>
        <v/>
      </c>
      <c r="P58" s="38">
        <f>'Допущения'!P$108*'Допущения'!$D$62+'Допущения'!P$109*'Допущения'!$D$66</f>
        <v/>
      </c>
      <c r="Q58" s="38">
        <f>'Допущения'!Q$108*'Допущения'!$D$62+'Допущения'!Q$109*'Допущения'!$D$66</f>
        <v/>
      </c>
      <c r="R58" s="38">
        <f>'Допущения'!R$108*'Допущения'!$D$62+'Допущения'!R$109*'Допущения'!$D$66</f>
        <v/>
      </c>
      <c r="S58" s="38">
        <f>'Допущения'!S$108*'Допущения'!$D$62+'Допущения'!S$109*'Допущения'!$D$66</f>
        <v/>
      </c>
      <c r="T58" s="38">
        <f>'Допущения'!T$108*'Допущения'!$D$62+'Допущения'!T$109*'Допущения'!$D$66</f>
        <v/>
      </c>
      <c r="U58" s="38">
        <f>'Допущения'!U$108*'Допущения'!$D$62+'Допущения'!U$109*'Допущения'!$D$66</f>
        <v/>
      </c>
      <c r="V58" s="38">
        <f>'Допущения'!V$108*'Допущения'!$D$62+'Допущения'!V$109*'Допущения'!$D$66</f>
        <v/>
      </c>
      <c r="X58" s="38">
        <f>SUM(C58:F58)</f>
        <v/>
      </c>
      <c r="Y58" s="38">
        <f>SUM(G58:J58)</f>
        <v/>
      </c>
      <c r="Z58" s="38">
        <f>SUM(K58:N58)</f>
        <v/>
      </c>
      <c r="AA58" s="38">
        <f>SUM(O58:R58)</f>
        <v/>
      </c>
      <c r="AB58" s="38">
        <f>SUM(S58:V58)</f>
        <v/>
      </c>
      <c r="AC58" s="39">
        <f>SUM(C58:V58)</f>
        <v/>
      </c>
    </row>
    <row r="59">
      <c r="A59" s="28" t="inlineStr">
        <is>
          <t>Этап 2: доработка и поддержка для клиентов 23+</t>
        </is>
      </c>
      <c r="B59" s="28" t="inlineStr">
        <is>
          <t>млн ₽</t>
        </is>
      </c>
      <c r="C59" s="38">
        <f>'Допущения'!C$107*'Допущения'!$D$48</f>
        <v/>
      </c>
      <c r="D59" s="38">
        <f>'Допущения'!D$107*'Допущения'!$D$48</f>
        <v/>
      </c>
      <c r="E59" s="38">
        <f>'Допущения'!E$107*'Допущения'!$D$48</f>
        <v/>
      </c>
      <c r="F59" s="38">
        <f>'Допущения'!F$107*'Допущения'!$D$48</f>
        <v/>
      </c>
      <c r="G59" s="38">
        <f>'Допущения'!G$107*'Допущения'!$D$48</f>
        <v/>
      </c>
      <c r="H59" s="38">
        <f>'Допущения'!H$107*'Допущения'!$D$48</f>
        <v/>
      </c>
      <c r="I59" s="38">
        <f>'Допущения'!I$107*'Допущения'!$D$48</f>
        <v/>
      </c>
      <c r="J59" s="38">
        <f>'Допущения'!J$107*'Допущения'!$D$48</f>
        <v/>
      </c>
      <c r="K59" s="38">
        <f>'Допущения'!K$107*'Допущения'!$D$48</f>
        <v/>
      </c>
      <c r="L59" s="38">
        <f>'Допущения'!L$107*'Допущения'!$D$48</f>
        <v/>
      </c>
      <c r="M59" s="38">
        <f>'Допущения'!M$107*'Допущения'!$D$48</f>
        <v/>
      </c>
      <c r="N59" s="38">
        <f>'Допущения'!N$107*'Допущения'!$D$48</f>
        <v/>
      </c>
      <c r="O59" s="38">
        <f>'Допущения'!O$107*'Допущения'!$D$48</f>
        <v/>
      </c>
      <c r="P59" s="38">
        <f>'Допущения'!P$107*'Допущения'!$D$48</f>
        <v/>
      </c>
      <c r="Q59" s="38">
        <f>'Допущения'!Q$107*'Допущения'!$D$48</f>
        <v/>
      </c>
      <c r="R59" s="38">
        <f>'Допущения'!R$107*'Допущения'!$D$48</f>
        <v/>
      </c>
      <c r="S59" s="38">
        <f>'Допущения'!S$107*'Допущения'!$D$48</f>
        <v/>
      </c>
      <c r="T59" s="38">
        <f>'Допущения'!T$107*'Допущения'!$D$48</f>
        <v/>
      </c>
      <c r="U59" s="38">
        <f>'Допущения'!U$107*'Допущения'!$D$48</f>
        <v/>
      </c>
      <c r="V59" s="38">
        <f>'Допущения'!V$107*'Допущения'!$D$48</f>
        <v/>
      </c>
      <c r="X59" s="38">
        <f>SUM(C59:F59)</f>
        <v/>
      </c>
      <c r="Y59" s="38">
        <f>SUM(G59:J59)</f>
        <v/>
      </c>
      <c r="Z59" s="38">
        <f>SUM(K59:N59)</f>
        <v/>
      </c>
      <c r="AA59" s="38">
        <f>SUM(O59:R59)</f>
        <v/>
      </c>
      <c r="AB59" s="38">
        <f>SUM(S59:V59)</f>
        <v/>
      </c>
      <c r="AC59" s="39">
        <f>SUM(C59:V59)</f>
        <v/>
      </c>
    </row>
    <row r="60">
      <c r="A60" s="28" t="inlineStr">
        <is>
          <t>Вознаграждения пользователям</t>
        </is>
      </c>
      <c r="B60" s="28" t="inlineStr">
        <is>
          <t>млн ₽</t>
        </is>
      </c>
      <c r="C60" s="38">
        <f>C31*1000*'Допущения'!$D$78/4/1000000</f>
        <v/>
      </c>
      <c r="D60" s="38">
        <f>D31*1000*'Допущения'!$D$78/4/1000000</f>
        <v/>
      </c>
      <c r="E60" s="38">
        <f>E31*1000*'Допущения'!$D$78/4/1000000</f>
        <v/>
      </c>
      <c r="F60" s="38">
        <f>F31*1000*'Допущения'!$D$78/4/1000000</f>
        <v/>
      </c>
      <c r="G60" s="38">
        <f>G31*1000*'Допущения'!$D$78/4/1000000</f>
        <v/>
      </c>
      <c r="H60" s="38">
        <f>H31*1000*'Допущения'!$D$78/4/1000000</f>
        <v/>
      </c>
      <c r="I60" s="38">
        <f>I31*1000*'Допущения'!$D$78/4/1000000</f>
        <v/>
      </c>
      <c r="J60" s="38">
        <f>J31*1000*'Допущения'!$D$78/4/1000000</f>
        <v/>
      </c>
      <c r="K60" s="38">
        <f>K31*1000*'Допущения'!$D$78/4/1000000</f>
        <v/>
      </c>
      <c r="L60" s="38">
        <f>L31*1000*'Допущения'!$D$78/4/1000000</f>
        <v/>
      </c>
      <c r="M60" s="38">
        <f>M31*1000*'Допущения'!$D$78/4/1000000</f>
        <v/>
      </c>
      <c r="N60" s="38">
        <f>N31*1000*'Допущения'!$D$78/4/1000000</f>
        <v/>
      </c>
      <c r="O60" s="38">
        <f>O31*1000*'Допущения'!$D$78/4/1000000</f>
        <v/>
      </c>
      <c r="P60" s="38">
        <f>P31*1000*'Допущения'!$D$78/4/1000000</f>
        <v/>
      </c>
      <c r="Q60" s="38">
        <f>Q31*1000*'Допущения'!$D$78/4/1000000</f>
        <v/>
      </c>
      <c r="R60" s="38">
        <f>R31*1000*'Допущения'!$D$78/4/1000000</f>
        <v/>
      </c>
      <c r="S60" s="38">
        <f>S31*1000*'Допущения'!$D$78/4/1000000</f>
        <v/>
      </c>
      <c r="T60" s="38">
        <f>T31*1000*'Допущения'!$D$78/4/1000000</f>
        <v/>
      </c>
      <c r="U60" s="38">
        <f>U31*1000*'Допущения'!$D$78/4/1000000</f>
        <v/>
      </c>
      <c r="V60" s="38">
        <f>V31*1000*'Допущения'!$D$78/4/1000000</f>
        <v/>
      </c>
      <c r="X60" s="38">
        <f>SUM(C60:F60)</f>
        <v/>
      </c>
      <c r="Y60" s="38">
        <f>SUM(G60:J60)</f>
        <v/>
      </c>
      <c r="Z60" s="38">
        <f>SUM(K60:N60)</f>
        <v/>
      </c>
      <c r="AA60" s="38">
        <f>SUM(O60:R60)</f>
        <v/>
      </c>
      <c r="AB60" s="38">
        <f>SUM(S60:V60)</f>
        <v/>
      </c>
      <c r="AC60" s="39">
        <f>SUM(C60:V60)</f>
        <v/>
      </c>
    </row>
    <row r="61">
      <c r="A61" s="28" t="inlineStr">
        <is>
          <t>Резерв на непредвиденное</t>
        </is>
      </c>
      <c r="B61" s="28" t="inlineStr">
        <is>
          <t>млн ₽</t>
        </is>
      </c>
      <c r="C61" s="38">
        <f>(C55+C56+C57+C58+C59+C60)*'Допущения'!$D$79</f>
        <v/>
      </c>
      <c r="D61" s="38">
        <f>(D55+D56+D57+D58+D59+D60)*'Допущения'!$D$79</f>
        <v/>
      </c>
      <c r="E61" s="38">
        <f>(E55+E56+E57+E58+E59+E60)*'Допущения'!$D$79</f>
        <v/>
      </c>
      <c r="F61" s="38">
        <f>(F55+F56+F57+F58+F59+F60)*'Допущения'!$D$79</f>
        <v/>
      </c>
      <c r="G61" s="38">
        <f>(G55+G56+G57+G58+G59+G60)*'Допущения'!$D$79</f>
        <v/>
      </c>
      <c r="H61" s="38">
        <f>(H55+H56+H57+H58+H59+H60)*'Допущения'!$D$79</f>
        <v/>
      </c>
      <c r="I61" s="38">
        <f>(I55+I56+I57+I58+I59+I60)*'Допущения'!$D$79</f>
        <v/>
      </c>
      <c r="J61" s="38">
        <f>(J55+J56+J57+J58+J59+J60)*'Допущения'!$D$79</f>
        <v/>
      </c>
      <c r="K61" s="38">
        <f>(K55+K56+K57+K58+K59+K60)*'Допущения'!$D$79</f>
        <v/>
      </c>
      <c r="L61" s="38">
        <f>(L55+L56+L57+L58+L59+L60)*'Допущения'!$D$79</f>
        <v/>
      </c>
      <c r="M61" s="38">
        <f>(M55+M56+M57+M58+M59+M60)*'Допущения'!$D$79</f>
        <v/>
      </c>
      <c r="N61" s="38">
        <f>(N55+N56+N57+N58+N59+N60)*'Допущения'!$D$79</f>
        <v/>
      </c>
      <c r="O61" s="38">
        <f>(O55+O56+O57+O58+O59+O60)*'Допущения'!$D$79</f>
        <v/>
      </c>
      <c r="P61" s="38">
        <f>(P55+P56+P57+P58+P59+P60)*'Допущения'!$D$79</f>
        <v/>
      </c>
      <c r="Q61" s="38">
        <f>(Q55+Q56+Q57+Q58+Q59+Q60)*'Допущения'!$D$79</f>
        <v/>
      </c>
      <c r="R61" s="38">
        <f>(R55+R56+R57+R58+R59+R60)*'Допущения'!$D$79</f>
        <v/>
      </c>
      <c r="S61" s="38">
        <f>(S55+S56+S57+S58+S59+S60)*'Допущения'!$D$79</f>
        <v/>
      </c>
      <c r="T61" s="38">
        <f>(T55+T56+T57+T58+T59+T60)*'Допущения'!$D$79</f>
        <v/>
      </c>
      <c r="U61" s="38">
        <f>(U55+U56+U57+U58+U59+U60)*'Допущения'!$D$79</f>
        <v/>
      </c>
      <c r="V61" s="38">
        <f>(V55+V56+V57+V58+V59+V60)*'Допущения'!$D$79</f>
        <v/>
      </c>
      <c r="X61" s="38">
        <f>SUM(C61:F61)</f>
        <v/>
      </c>
      <c r="Y61" s="38">
        <f>SUM(G61:J61)</f>
        <v/>
      </c>
      <c r="Z61" s="38">
        <f>SUM(K61:N61)</f>
        <v/>
      </c>
      <c r="AA61" s="38">
        <f>SUM(O61:R61)</f>
        <v/>
      </c>
      <c r="AB61" s="38">
        <f>SUM(S61:V61)</f>
        <v/>
      </c>
      <c r="AC61" s="39">
        <f>SUM(C61:V61)</f>
        <v/>
      </c>
    </row>
    <row r="62">
      <c r="A62" s="40" t="inlineStr">
        <is>
          <t>ИТОГО ЗАТРАТЫ (с учётом перерасхода)</t>
        </is>
      </c>
      <c r="B62" s="41" t="inlineStr">
        <is>
          <t>млн ₽</t>
        </is>
      </c>
      <c r="C62" s="42">
        <f>(C55+C56+C57+C58+C59+C60+C61)*'Допущения'!$D$80</f>
        <v/>
      </c>
      <c r="D62" s="42">
        <f>(D55+D56+D57+D58+D59+D60+D61)*'Допущения'!$D$80</f>
        <v/>
      </c>
      <c r="E62" s="42">
        <f>(E55+E56+E57+E58+E59+E60+E61)*'Допущения'!$D$80</f>
        <v/>
      </c>
      <c r="F62" s="42">
        <f>(F55+F56+F57+F58+F59+F60+F61)*'Допущения'!$D$80</f>
        <v/>
      </c>
      <c r="G62" s="42">
        <f>(G55+G56+G57+G58+G59+G60+G61)*'Допущения'!$D$80</f>
        <v/>
      </c>
      <c r="H62" s="42">
        <f>(H55+H56+H57+H58+H59+H60+H61)*'Допущения'!$D$80</f>
        <v/>
      </c>
      <c r="I62" s="42">
        <f>(I55+I56+I57+I58+I59+I60+I61)*'Допущения'!$D$80</f>
        <v/>
      </c>
      <c r="J62" s="42">
        <f>(J55+J56+J57+J58+J59+J60+J61)*'Допущения'!$D$80</f>
        <v/>
      </c>
      <c r="K62" s="42">
        <f>(K55+K56+K57+K58+K59+K60+K61)*'Допущения'!$D$80</f>
        <v/>
      </c>
      <c r="L62" s="42">
        <f>(L55+L56+L57+L58+L59+L60+L61)*'Допущения'!$D$80</f>
        <v/>
      </c>
      <c r="M62" s="42">
        <f>(M55+M56+M57+M58+M59+M60+M61)*'Допущения'!$D$80</f>
        <v/>
      </c>
      <c r="N62" s="42">
        <f>(N55+N56+N57+N58+N59+N60+N61)*'Допущения'!$D$80</f>
        <v/>
      </c>
      <c r="O62" s="42">
        <f>(O55+O56+O57+O58+O59+O60+O61)*'Допущения'!$D$80</f>
        <v/>
      </c>
      <c r="P62" s="42">
        <f>(P55+P56+P57+P58+P59+P60+P61)*'Допущения'!$D$80</f>
        <v/>
      </c>
      <c r="Q62" s="42">
        <f>(Q55+Q56+Q57+Q58+Q59+Q60+Q61)*'Допущения'!$D$80</f>
        <v/>
      </c>
      <c r="R62" s="42">
        <f>(R55+R56+R57+R58+R59+R60+R61)*'Допущения'!$D$80</f>
        <v/>
      </c>
      <c r="S62" s="42">
        <f>(S55+S56+S57+S58+S59+S60+S61)*'Допущения'!$D$80</f>
        <v/>
      </c>
      <c r="T62" s="42">
        <f>(T55+T56+T57+T58+T59+T60+T61)*'Допущения'!$D$80</f>
        <v/>
      </c>
      <c r="U62" s="42">
        <f>(U55+U56+U57+U58+U59+U60+U61)*'Допущения'!$D$80</f>
        <v/>
      </c>
      <c r="V62" s="42">
        <f>(V55+V56+V57+V58+V59+V60+V61)*'Допущения'!$D$80</f>
        <v/>
      </c>
      <c r="X62" s="42">
        <f>SUM(C62:F62)</f>
        <v/>
      </c>
      <c r="Y62" s="42">
        <f>SUM(G62:J62)</f>
        <v/>
      </c>
      <c r="Z62" s="42">
        <f>SUM(K62:N62)</f>
        <v/>
      </c>
      <c r="AA62" s="42">
        <f>SUM(O62:R62)</f>
        <v/>
      </c>
      <c r="AB62" s="42">
        <f>SUM(S62:V62)</f>
        <v/>
      </c>
      <c r="AC62" s="42">
        <f>SUM(C62:V62)</f>
        <v/>
      </c>
    </row>
    <row r="63">
      <c r="A63" s="4" t="inlineStr">
        <is>
          <t>Денежный поток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13" t="inlineStr">
        <is>
          <t>Чистый денежный поток</t>
        </is>
      </c>
      <c r="B64" s="28" t="inlineStr">
        <is>
          <t>млн ₽</t>
        </is>
      </c>
      <c r="C64" s="39">
        <f>C53-C62</f>
        <v/>
      </c>
      <c r="D64" s="39">
        <f>D53-D62</f>
        <v/>
      </c>
      <c r="E64" s="39">
        <f>E53-E62</f>
        <v/>
      </c>
      <c r="F64" s="39">
        <f>F53-F62</f>
        <v/>
      </c>
      <c r="G64" s="39">
        <f>G53-G62</f>
        <v/>
      </c>
      <c r="H64" s="39">
        <f>H53-H62</f>
        <v/>
      </c>
      <c r="I64" s="39">
        <f>I53-I62</f>
        <v/>
      </c>
      <c r="J64" s="39">
        <f>J53-J62</f>
        <v/>
      </c>
      <c r="K64" s="39">
        <f>K53-K62</f>
        <v/>
      </c>
      <c r="L64" s="39">
        <f>L53-L62</f>
        <v/>
      </c>
      <c r="M64" s="39">
        <f>M53-M62</f>
        <v/>
      </c>
      <c r="N64" s="39">
        <f>N53-N62</f>
        <v/>
      </c>
      <c r="O64" s="39">
        <f>O53-O62</f>
        <v/>
      </c>
      <c r="P64" s="39">
        <f>P53-P62</f>
        <v/>
      </c>
      <c r="Q64" s="39">
        <f>Q53-Q62</f>
        <v/>
      </c>
      <c r="R64" s="39">
        <f>R53-R62</f>
        <v/>
      </c>
      <c r="S64" s="39">
        <f>S53-S62</f>
        <v/>
      </c>
      <c r="T64" s="39">
        <f>T53-T62</f>
        <v/>
      </c>
      <c r="U64" s="39">
        <f>U53-U62</f>
        <v/>
      </c>
      <c r="V64" s="39">
        <f>V53-V62</f>
        <v/>
      </c>
      <c r="X64" s="39">
        <f>SUM(C64:F64)</f>
        <v/>
      </c>
      <c r="Y64" s="39">
        <f>SUM(G64:J64)</f>
        <v/>
      </c>
      <c r="Z64" s="39">
        <f>SUM(K64:N64)</f>
        <v/>
      </c>
      <c r="AA64" s="39">
        <f>SUM(O64:R64)</f>
        <v/>
      </c>
      <c r="AB64" s="39">
        <f>SUM(S64:V64)</f>
        <v/>
      </c>
      <c r="AC64" s="39">
        <f>SUM(C64:V64)</f>
        <v/>
      </c>
    </row>
    <row r="65">
      <c r="A65" s="28" t="inlineStr">
        <is>
          <t>Накопленный денежный поток</t>
        </is>
      </c>
      <c r="B65" s="28" t="inlineStr">
        <is>
          <t>млн ₽</t>
        </is>
      </c>
      <c r="C65" s="38">
        <f>C64</f>
        <v/>
      </c>
      <c r="D65" s="38">
        <f>C65+D64</f>
        <v/>
      </c>
      <c r="E65" s="38">
        <f>D65+E64</f>
        <v/>
      </c>
      <c r="F65" s="38">
        <f>E65+F64</f>
        <v/>
      </c>
      <c r="G65" s="38">
        <f>F65+G64</f>
        <v/>
      </c>
      <c r="H65" s="38">
        <f>G65+H64</f>
        <v/>
      </c>
      <c r="I65" s="38">
        <f>H65+I64</f>
        <v/>
      </c>
      <c r="J65" s="38">
        <f>I65+J64</f>
        <v/>
      </c>
      <c r="K65" s="38">
        <f>J65+K64</f>
        <v/>
      </c>
      <c r="L65" s="38">
        <f>K65+L64</f>
        <v/>
      </c>
      <c r="M65" s="38">
        <f>L65+M64</f>
        <v/>
      </c>
      <c r="N65" s="38">
        <f>M65+N64</f>
        <v/>
      </c>
      <c r="O65" s="38">
        <f>N65+O64</f>
        <v/>
      </c>
      <c r="P65" s="38">
        <f>O65+P64</f>
        <v/>
      </c>
      <c r="Q65" s="38">
        <f>P65+Q64</f>
        <v/>
      </c>
      <c r="R65" s="38">
        <f>Q65+R64</f>
        <v/>
      </c>
      <c r="S65" s="38">
        <f>R65+S64</f>
        <v/>
      </c>
      <c r="T65" s="38">
        <f>S65+T64</f>
        <v/>
      </c>
      <c r="U65" s="38">
        <f>T65+U64</f>
        <v/>
      </c>
      <c r="V65" s="38">
        <f>U65+V64</f>
        <v/>
      </c>
      <c r="X65" s="38">
        <f>F65</f>
        <v/>
      </c>
      <c r="Y65" s="38">
        <f>J65</f>
        <v/>
      </c>
      <c r="Z65" s="38">
        <f>N65</f>
        <v/>
      </c>
      <c r="AA65" s="38">
        <f>R65</f>
        <v/>
      </c>
      <c r="AB65" s="38">
        <f>V65</f>
        <v/>
      </c>
      <c r="AC65" s="39">
        <f>V65</f>
        <v/>
      </c>
    </row>
    <row r="66">
      <c r="A66" s="28" t="inlineStr">
        <is>
          <t>Коэффициент дисконтирования</t>
        </is>
      </c>
      <c r="B66" s="28" t="inlineStr">
        <is>
          <t>x</t>
        </is>
      </c>
      <c r="C66" s="32">
        <f>1/(1+$C$16)^C24</f>
        <v/>
      </c>
      <c r="D66" s="32">
        <f>1/(1+$C$16)^D24</f>
        <v/>
      </c>
      <c r="E66" s="32">
        <f>1/(1+$C$16)^E24</f>
        <v/>
      </c>
      <c r="F66" s="32">
        <f>1/(1+$C$16)^F24</f>
        <v/>
      </c>
      <c r="G66" s="32">
        <f>1/(1+$C$16)^G24</f>
        <v/>
      </c>
      <c r="H66" s="32">
        <f>1/(1+$C$16)^H24</f>
        <v/>
      </c>
      <c r="I66" s="32">
        <f>1/(1+$C$16)^I24</f>
        <v/>
      </c>
      <c r="J66" s="32">
        <f>1/(1+$C$16)^J24</f>
        <v/>
      </c>
      <c r="K66" s="32">
        <f>1/(1+$C$16)^K24</f>
        <v/>
      </c>
      <c r="L66" s="32">
        <f>1/(1+$C$16)^L24</f>
        <v/>
      </c>
      <c r="M66" s="32">
        <f>1/(1+$C$16)^M24</f>
        <v/>
      </c>
      <c r="N66" s="32">
        <f>1/(1+$C$16)^N24</f>
        <v/>
      </c>
      <c r="O66" s="32">
        <f>1/(1+$C$16)^O24</f>
        <v/>
      </c>
      <c r="P66" s="32">
        <f>1/(1+$C$16)^P24</f>
        <v/>
      </c>
      <c r="Q66" s="32">
        <f>1/(1+$C$16)^Q24</f>
        <v/>
      </c>
      <c r="R66" s="32">
        <f>1/(1+$C$16)^R24</f>
        <v/>
      </c>
      <c r="S66" s="32">
        <f>1/(1+$C$16)^S24</f>
        <v/>
      </c>
      <c r="T66" s="32">
        <f>1/(1+$C$16)^T24</f>
        <v/>
      </c>
      <c r="U66" s="32">
        <f>1/(1+$C$16)^U24</f>
        <v/>
      </c>
      <c r="V66" s="32">
        <f>1/(1+$C$16)^V24</f>
        <v/>
      </c>
    </row>
    <row r="67">
      <c r="A67" s="28" t="inlineStr">
        <is>
          <t>Дисконтированный поток</t>
        </is>
      </c>
      <c r="B67" s="28" t="inlineStr">
        <is>
          <t>млн ₽</t>
        </is>
      </c>
      <c r="C67" s="38">
        <f>C64*C66</f>
        <v/>
      </c>
      <c r="D67" s="38">
        <f>D64*D66</f>
        <v/>
      </c>
      <c r="E67" s="38">
        <f>E64*E66</f>
        <v/>
      </c>
      <c r="F67" s="38">
        <f>F64*F66</f>
        <v/>
      </c>
      <c r="G67" s="38">
        <f>G64*G66</f>
        <v/>
      </c>
      <c r="H67" s="38">
        <f>H64*H66</f>
        <v/>
      </c>
      <c r="I67" s="38">
        <f>I64*I66</f>
        <v/>
      </c>
      <c r="J67" s="38">
        <f>J64*J66</f>
        <v/>
      </c>
      <c r="K67" s="38">
        <f>K64*K66</f>
        <v/>
      </c>
      <c r="L67" s="38">
        <f>L64*L66</f>
        <v/>
      </c>
      <c r="M67" s="38">
        <f>M64*M66</f>
        <v/>
      </c>
      <c r="N67" s="38">
        <f>N64*N66</f>
        <v/>
      </c>
      <c r="O67" s="38">
        <f>O64*O66</f>
        <v/>
      </c>
      <c r="P67" s="38">
        <f>P64*P66</f>
        <v/>
      </c>
      <c r="Q67" s="38">
        <f>Q64*Q66</f>
        <v/>
      </c>
      <c r="R67" s="38">
        <f>R64*R66</f>
        <v/>
      </c>
      <c r="S67" s="38">
        <f>S64*S66</f>
        <v/>
      </c>
      <c r="T67" s="38">
        <f>T64*T66</f>
        <v/>
      </c>
      <c r="U67" s="38">
        <f>U64*U66</f>
        <v/>
      </c>
      <c r="V67" s="38">
        <f>V64*V66</f>
        <v/>
      </c>
      <c r="X67" s="38">
        <f>SUM(C67:F67)</f>
        <v/>
      </c>
      <c r="Y67" s="38">
        <f>SUM(G67:J67)</f>
        <v/>
      </c>
      <c r="Z67" s="38">
        <f>SUM(K67:N67)</f>
        <v/>
      </c>
      <c r="AA67" s="38">
        <f>SUM(O67:R67)</f>
        <v/>
      </c>
      <c r="AB67" s="38">
        <f>SUM(S67:V67)</f>
        <v/>
      </c>
      <c r="AC67" s="39">
        <f>SUM(C67:V67)</f>
        <v/>
      </c>
    </row>
    <row r="68">
      <c r="A68" s="28" t="inlineStr">
        <is>
          <t>Служебная: номер квартала, если накопленный поток ≥ 0</t>
        </is>
      </c>
      <c r="B68" s="28" t="inlineStr">
        <is>
          <t>№</t>
        </is>
      </c>
      <c r="C68" s="34">
        <f>IF(C65&gt;=0,C24,99)</f>
        <v/>
      </c>
      <c r="D68" s="34">
        <f>IF(D65&gt;=0,D24,99)</f>
        <v/>
      </c>
      <c r="E68" s="34">
        <f>IF(E65&gt;=0,E24,99)</f>
        <v/>
      </c>
      <c r="F68" s="34">
        <f>IF(F65&gt;=0,F24,99)</f>
        <v/>
      </c>
      <c r="G68" s="34">
        <f>IF(G65&gt;=0,G24,99)</f>
        <v/>
      </c>
      <c r="H68" s="34">
        <f>IF(H65&gt;=0,H24,99)</f>
        <v/>
      </c>
      <c r="I68" s="34">
        <f>IF(I65&gt;=0,I24,99)</f>
        <v/>
      </c>
      <c r="J68" s="34">
        <f>IF(J65&gt;=0,J24,99)</f>
        <v/>
      </c>
      <c r="K68" s="34">
        <f>IF(K65&gt;=0,K24,99)</f>
        <v/>
      </c>
      <c r="L68" s="34">
        <f>IF(L65&gt;=0,L24,99)</f>
        <v/>
      </c>
      <c r="M68" s="34">
        <f>IF(M65&gt;=0,M24,99)</f>
        <v/>
      </c>
      <c r="N68" s="34">
        <f>IF(N65&gt;=0,N24,99)</f>
        <v/>
      </c>
      <c r="O68" s="34">
        <f>IF(O65&gt;=0,O24,99)</f>
        <v/>
      </c>
      <c r="P68" s="34">
        <f>IF(P65&gt;=0,P24,99)</f>
        <v/>
      </c>
      <c r="Q68" s="34">
        <f>IF(Q65&gt;=0,Q24,99)</f>
        <v/>
      </c>
      <c r="R68" s="34">
        <f>IF(R65&gt;=0,R24,99)</f>
        <v/>
      </c>
      <c r="S68" s="34">
        <f>IF(S65&gt;=0,S24,99)</f>
        <v/>
      </c>
      <c r="T68" s="34">
        <f>IF(T65&gt;=0,T24,99)</f>
        <v/>
      </c>
      <c r="U68" s="34">
        <f>IF(U65&gt;=0,U24,99)</f>
        <v/>
      </c>
      <c r="V68" s="34">
        <f>IF(V65&gt;=0,V24,99)</f>
        <v/>
      </c>
    </row>
    <row r="69">
      <c r="A69" s="28" t="inlineStr">
        <is>
          <t>Поток ядра продукта: без этапа 2, моста и «Пушкинской карты»</t>
        </is>
      </c>
      <c r="B69" s="28" t="inlineStr">
        <is>
          <t>млн ₽</t>
        </is>
      </c>
      <c r="C69" s="38">
        <f>(C53-C50-C52-C45-C47)-(C55+C56+C57+C60)*(1+'Допущения'!$D$79)*'Допущения'!$D$80</f>
        <v/>
      </c>
      <c r="D69" s="38">
        <f>(D53-D50-D52-D45-D47)-(D55+D56+D57+D60)*(1+'Допущения'!$D$79)*'Допущения'!$D$80</f>
        <v/>
      </c>
      <c r="E69" s="38">
        <f>(E53-E50-E52-E45-E47)-(E55+E56+E57+E60)*(1+'Допущения'!$D$79)*'Допущения'!$D$80</f>
        <v/>
      </c>
      <c r="F69" s="38">
        <f>(F53-F50-F52-F45-F47)-(F55+F56+F57+F60)*(1+'Допущения'!$D$79)*'Допущения'!$D$80</f>
        <v/>
      </c>
      <c r="G69" s="38">
        <f>(G53-G50-G52-G45-G47)-(G55+G56+G57+G60)*(1+'Допущения'!$D$79)*'Допущения'!$D$80</f>
        <v/>
      </c>
      <c r="H69" s="38">
        <f>(H53-H50-H52-H45-H47)-(H55+H56+H57+H60)*(1+'Допущения'!$D$79)*'Допущения'!$D$80</f>
        <v/>
      </c>
      <c r="I69" s="38">
        <f>(I53-I50-I52-I45-I47)-(I55+I56+I57+I60)*(1+'Допущения'!$D$79)*'Допущения'!$D$80</f>
        <v/>
      </c>
      <c r="J69" s="38">
        <f>(J53-J50-J52-J45-J47)-(J55+J56+J57+J60)*(1+'Допущения'!$D$79)*'Допущения'!$D$80</f>
        <v/>
      </c>
      <c r="K69" s="38">
        <f>(K53-K50-K52-K45-K47)-(K55+K56+K57+K60)*(1+'Допущения'!$D$79)*'Допущения'!$D$80</f>
        <v/>
      </c>
      <c r="L69" s="38">
        <f>(L53-L50-L52-L45-L47)-(L55+L56+L57+L60)*(1+'Допущения'!$D$79)*'Допущения'!$D$80</f>
        <v/>
      </c>
      <c r="M69" s="38">
        <f>(M53-M50-M52-M45-M47)-(M55+M56+M57+M60)*(1+'Допущения'!$D$79)*'Допущения'!$D$80</f>
        <v/>
      </c>
      <c r="N69" s="38">
        <f>(N53-N50-N52-N45-N47)-(N55+N56+N57+N60)*(1+'Допущения'!$D$79)*'Допущения'!$D$80</f>
        <v/>
      </c>
      <c r="O69" s="38">
        <f>(O53-O50-O52-O45-O47)-(O55+O56+O57+O60)*(1+'Допущения'!$D$79)*'Допущения'!$D$80</f>
        <v/>
      </c>
      <c r="P69" s="38">
        <f>(P53-P50-P52-P45-P47)-(P55+P56+P57+P60)*(1+'Допущения'!$D$79)*'Допущения'!$D$80</f>
        <v/>
      </c>
      <c r="Q69" s="38">
        <f>(Q53-Q50-Q52-Q45-Q47)-(Q55+Q56+Q57+Q60)*(1+'Допущения'!$D$79)*'Допущения'!$D$80</f>
        <v/>
      </c>
      <c r="R69" s="38">
        <f>(R53-R50-R52-R45-R47)-(R55+R56+R57+R60)*(1+'Допущения'!$D$79)*'Допущения'!$D$80</f>
        <v/>
      </c>
      <c r="S69" s="38">
        <f>(S53-S50-S52-S45-S47)-(S55+S56+S57+S60)*(1+'Допущения'!$D$79)*'Допущения'!$D$80</f>
        <v/>
      </c>
      <c r="T69" s="38">
        <f>(T53-T50-T52-T45-T47)-(T55+T56+T57+T60)*(1+'Допущения'!$D$79)*'Допущения'!$D$80</f>
        <v/>
      </c>
      <c r="U69" s="38">
        <f>(U53-U50-U52-U45-U47)-(U55+U56+U57+U60)*(1+'Допущения'!$D$79)*'Допущения'!$D$80</f>
        <v/>
      </c>
      <c r="V69" s="38">
        <f>(V53-V50-V52-V45-V47)-(V55+V56+V57+V60)*(1+'Допущения'!$D$79)*'Допущения'!$D$80</f>
        <v/>
      </c>
      <c r="X69" s="38">
        <f>SUM(C69:F69)</f>
        <v/>
      </c>
      <c r="Y69" s="38">
        <f>SUM(G69:J69)</f>
        <v/>
      </c>
      <c r="Z69" s="38">
        <f>SUM(K69:N69)</f>
        <v/>
      </c>
      <c r="AA69" s="38">
        <f>SUM(O69:R69)</f>
        <v/>
      </c>
      <c r="AB69" s="38">
        <f>SUM(S69:V69)</f>
        <v/>
      </c>
      <c r="AC69" s="39">
        <f>SUM(C69:V69)</f>
        <v/>
      </c>
    </row>
    <row r="70">
      <c r="A70" s="4" t="inlineStr">
        <is>
          <t>Итоговые показатели сценария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28" t="inlineStr">
        <is>
          <t>NPV за 5 лет (2027–2031)</t>
        </is>
      </c>
      <c r="B71" s="28" t="inlineStr">
        <is>
          <t>млн ₽</t>
        </is>
      </c>
      <c r="C71" s="43">
        <f>SUM(C67:V67)</f>
        <v/>
      </c>
    </row>
    <row r="72">
      <c r="A72" s="28" t="inlineStr">
        <is>
          <t>NPV за 5 лет только ядра продукта (без этапа 2, моста и «Пушкинской карты»)</t>
        </is>
      </c>
      <c r="B72" s="28" t="inlineStr">
        <is>
          <t>млн ₽</t>
        </is>
      </c>
      <c r="C72" s="43">
        <f>SUMPRODUCT(C69:V69,C66:V66)</f>
        <v/>
      </c>
    </row>
    <row r="73">
      <c r="A73" s="28" t="inlineStr">
        <is>
          <t>NPV за первые 3 года (2027–2029), справочно</t>
        </is>
      </c>
      <c r="B73" s="28" t="inlineStr">
        <is>
          <t>млн ₽</t>
        </is>
      </c>
      <c r="C73" s="38">
        <f>SUM(C67:N67)</f>
        <v/>
      </c>
    </row>
    <row r="74">
      <c r="A74" s="28" t="inlineStr">
        <is>
          <t>Суммарный эффект за 5 лет</t>
        </is>
      </c>
      <c r="B74" s="28" t="inlineStr">
        <is>
          <t>млн ₽</t>
        </is>
      </c>
      <c r="C74" s="38">
        <f>AC53</f>
        <v/>
      </c>
    </row>
    <row r="75">
      <c r="A75" s="28" t="inlineStr">
        <is>
          <t>Суммарные затраты за 5 лет</t>
        </is>
      </c>
      <c r="B75" s="28" t="inlineStr">
        <is>
          <t>млн ₽</t>
        </is>
      </c>
      <c r="C75" s="38">
        <f>AC62</f>
        <v/>
      </c>
    </row>
    <row r="76">
      <c r="A76" s="28" t="inlineStr">
        <is>
          <t>ROI за 5 лет</t>
        </is>
      </c>
      <c r="B76" s="28" t="inlineStr">
        <is>
          <t>доля</t>
        </is>
      </c>
      <c r="C76" s="35">
        <f>IF(C75&gt;0,(C74-C75)/C75,0)</f>
        <v/>
      </c>
    </row>
    <row r="77">
      <c r="A77" s="28" t="inlineStr">
        <is>
          <t>Инвестиции до полного запуска (разработка + пилот)</t>
        </is>
      </c>
      <c r="B77" s="28" t="inlineStr">
        <is>
          <t>млн ₽</t>
        </is>
      </c>
      <c r="C77" s="38">
        <f>SUMPRODUCT(C62:V62,C25:V25)</f>
        <v/>
      </c>
    </row>
    <row r="78">
      <c r="A78" s="28" t="inlineStr">
        <is>
          <t>Квартал окупаемости (99 — не окупается за 5 лет)</t>
        </is>
      </c>
      <c r="B78" s="28" t="inlineStr">
        <is>
          <t>№</t>
        </is>
      </c>
      <c r="C78" s="34">
        <f>MIN(C68:V68)</f>
        <v/>
      </c>
    </row>
    <row r="79">
      <c r="A79" s="28" t="inlineStr">
        <is>
          <t>Срок окупаемости от старта проекта</t>
        </is>
      </c>
      <c r="B79" s="28" t="inlineStr">
        <is>
          <t>мес.</t>
        </is>
      </c>
      <c r="C79" s="44">
        <f>IF(C78=99,"больше 60",IF(C78=1,0,(C78-1)*3+3*(-INDEX(C65:V65,C78-1))/INDEX(C64:V64,C78)))</f>
        <v/>
      </c>
    </row>
    <row r="80">
      <c r="A80" s="28" t="inlineStr">
        <is>
          <t>Срок окупаемости от полного запуска</t>
        </is>
      </c>
      <c r="B80" s="28" t="inlineStr">
        <is>
          <t>мес.</t>
        </is>
      </c>
      <c r="C80" s="45">
        <f>IF(C78=99,"больше 60",C79-('Допущения'!$D$75-1)*3)</f>
        <v/>
      </c>
    </row>
    <row r="81">
      <c r="A81" s="28" t="inlineStr">
        <is>
          <t>Годовые затраты в режиме эксплуатации (2031)</t>
        </is>
      </c>
      <c r="B81" s="28" t="inlineStr">
        <is>
          <t>млн ₽</t>
        </is>
      </c>
      <c r="C81" s="38">
        <f>AB62</f>
        <v/>
      </c>
    </row>
    <row r="82">
      <c r="A82" s="28" t="inlineStr">
        <is>
          <t>Годовой эффект (2031)</t>
        </is>
      </c>
      <c r="B82" s="28" t="inlineStr">
        <is>
          <t>млн ₽</t>
        </is>
      </c>
      <c r="C82" s="38">
        <f>AB53</f>
        <v/>
      </c>
    </row>
    <row r="83">
      <c r="A83" s="28" t="inlineStr">
        <is>
          <t>Операционный поток 2029 (эффект минус затраты)</t>
        </is>
      </c>
      <c r="B83" s="28" t="inlineStr">
        <is>
          <t>млн ₽</t>
        </is>
      </c>
      <c r="C83" s="38">
        <f>Z53-Z62</f>
        <v/>
      </c>
    </row>
    <row r="84">
      <c r="A84" s="28" t="inlineStr">
        <is>
          <t>Предотвращено дроп-кейсов молодёжи за 5 лет</t>
        </is>
      </c>
      <c r="B84" s="28" t="inlineStr">
        <is>
          <t>шт.</t>
        </is>
      </c>
      <c r="C84" s="29">
        <f>AC33</f>
        <v/>
      </c>
    </row>
    <row r="85">
      <c r="A85" s="28" t="inlineStr">
        <is>
          <t>Предотвращено дроп-кейсов 23+ за 5 лет</t>
        </is>
      </c>
      <c r="B85" s="28" t="inlineStr">
        <is>
          <t>шт.</t>
        </is>
      </c>
      <c r="C85" s="29">
        <f>AC49</f>
        <v/>
      </c>
    </row>
    <row r="86">
      <c r="A86" s="28" t="inlineStr">
        <is>
          <t>Социальный эффект: чужих денег не прошло через карты ВТБ (вне NPV)</t>
        </is>
      </c>
      <c r="B86" s="28" t="inlineStr">
        <is>
          <t>млн ₽</t>
        </is>
      </c>
      <c r="C86" s="38">
        <f>(C84+C85)*'Допущения'!$D$36/1000000</f>
        <v/>
      </c>
    </row>
    <row r="87">
      <c r="A87" s="28" t="inlineStr">
        <is>
          <t>MAU раздела на конец 2031</t>
        </is>
      </c>
      <c r="B87" s="28" t="inlineStr">
        <is>
          <t>тыс. чел.</t>
        </is>
      </c>
      <c r="C87" s="29">
        <f>V31</f>
        <v/>
      </c>
    </row>
    <row r="88">
      <c r="A88" s="28" t="inlineStr">
        <is>
          <t>Молодых клиентов сохранено, удержано и привлечено (на конец 2031)</t>
        </is>
      </c>
      <c r="B88" s="28" t="inlineStr">
        <is>
          <t>чел.</t>
        </is>
      </c>
      <c r="C88" s="29">
        <f>V35+V37+V39+V44+V46</f>
        <v/>
      </c>
    </row>
    <row r="89">
      <c r="A89" s="28" t="inlineStr">
        <is>
          <t>Стратегическая ценность этих клиентов после 23 лет (вне NPV)</t>
        </is>
      </c>
      <c r="B89" s="28" t="inlineStr">
        <is>
          <t>млн ₽</t>
        </is>
      </c>
      <c r="C89" s="38">
        <f>C88*C19/1000000</f>
        <v/>
      </c>
    </row>
    <row r="90">
      <c r="A90" s="28" t="inlineStr">
        <is>
          <t>Затраты на одного MAU в 2031</t>
        </is>
      </c>
      <c r="B90" s="28" t="inlineStr">
        <is>
          <t>₽/год</t>
        </is>
      </c>
      <c r="C90" s="29">
        <f>IF(V31&gt;0,AB62*1000000/(V31*1000),0)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AC90"/>
  <sheetViews>
    <sheetView workbookViewId="0">
      <pane xSplit="2" ySplit="23" topLeftCell="C2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3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Расчёт: Оптимистичный сценарий</t>
        </is>
      </c>
    </row>
    <row r="2">
      <c r="A2" s="2" t="inlineStr">
        <is>
          <t>Все значения — формулы от листа «Допущения» (колонка сценария). Деньги — млн ₽.</t>
        </is>
      </c>
    </row>
    <row r="3"/>
    <row r="4">
      <c r="A4" s="4" t="inlineStr">
        <is>
          <t>Аудитория и базовые величины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28" t="inlineStr">
        <is>
          <t>Молодёжь 14–17 лет в РФ</t>
        </is>
      </c>
      <c r="B5" s="28" t="inlineStr">
        <is>
          <t>тыс. чел.</t>
        </is>
      </c>
      <c r="C5" s="29">
        <f>'Допущения'!$E$8*'Допущения'!$E$9</f>
        <v/>
      </c>
    </row>
    <row r="6">
      <c r="A6" s="28" t="inlineStr">
        <is>
          <t>Молодёжь 18–22 лет в РФ</t>
        </is>
      </c>
      <c r="B6" s="28" t="inlineStr">
        <is>
          <t>тыс. чел.</t>
        </is>
      </c>
      <c r="C6" s="29">
        <f>'Допущения'!$E$7*'Допущения'!$E$9</f>
        <v/>
      </c>
    </row>
    <row r="7">
      <c r="A7" s="28" t="inlineStr">
        <is>
          <t>TAM: вся молодёжь 14–22</t>
        </is>
      </c>
      <c r="B7" s="28" t="inlineStr">
        <is>
          <t>тыс. чел.</t>
        </is>
      </c>
      <c r="C7" s="29">
        <f>C5+C6</f>
        <v/>
      </c>
    </row>
    <row r="8">
      <c r="A8" s="28" t="inlineStr">
        <is>
          <t>SAM: молодёжь 14–22 с банковской картой</t>
        </is>
      </c>
      <c r="B8" s="28" t="inlineStr">
        <is>
          <t>тыс. чел.</t>
        </is>
      </c>
      <c r="C8" s="29">
        <f>C5*'Допущения'!$E$10+C6*'Допущения'!$E$11</f>
        <v/>
      </c>
    </row>
    <row r="9">
      <c r="A9" s="28" t="inlineStr">
        <is>
          <t>SOM: клиенты ВТБ 14–22</t>
        </is>
      </c>
      <c r="B9" s="28" t="inlineStr">
        <is>
          <t>тыс. чел.</t>
        </is>
      </c>
      <c r="C9" s="30">
        <f>C5*'Допущения'!$E$10*'Допущения'!$E$12+C6*'Допущения'!$E$11*'Допущения'!$E$13</f>
        <v/>
      </c>
    </row>
    <row r="10">
      <c r="A10" s="28" t="inlineStr">
        <is>
          <t>Проверка: клиенты ВТБ 14–25 по модели (факт ВТБ — на листе «Допущения»)</t>
        </is>
      </c>
      <c r="B10" s="28" t="inlineStr">
        <is>
          <t>тыс. чел.</t>
        </is>
      </c>
      <c r="C10" s="29">
        <f>C9+'Допущения'!$E$16*'Допущения'!$E$9*'Допущения'!$E$11*'Допущения'!$E$13</f>
        <v/>
      </c>
    </row>
    <row r="11">
      <c r="A11" s="28" t="inlineStr">
        <is>
          <t>Дропов 14–22 лет в РФ в год</t>
        </is>
      </c>
      <c r="B11" s="28" t="inlineStr">
        <is>
          <t>тыс. чел.</t>
        </is>
      </c>
      <c r="C11" s="29">
        <f>'Допущения'!$E$14*12*'Допущения'!$E$15/1000</f>
        <v/>
      </c>
    </row>
    <row r="12">
      <c r="A12" s="28" t="inlineStr">
        <is>
          <t>Вероятность стать дропом за год для молодого клиента с картой</t>
        </is>
      </c>
      <c r="B12" s="28" t="inlineStr">
        <is>
          <t>доля</t>
        </is>
      </c>
      <c r="C12" s="31">
        <f>IF(C8&gt;0,C11/C8,0)</f>
        <v/>
      </c>
    </row>
    <row r="13">
      <c r="A13" s="28" t="inlineStr">
        <is>
          <t>Дроп-кейсов среди клиентов ВТБ 14–22 в год (без продукта)</t>
        </is>
      </c>
      <c r="B13" s="28" t="inlineStr">
        <is>
          <t>шт.</t>
        </is>
      </c>
      <c r="C13" s="29">
        <f>C9*1000*C12</f>
        <v/>
      </c>
    </row>
    <row r="14">
      <c r="A14" s="28" t="inlineStr">
        <is>
          <t>Маржинальный доход на молодого клиента</t>
        </is>
      </c>
      <c r="B14" s="28" t="inlineStr">
        <is>
          <t>₽/год</t>
        </is>
      </c>
      <c r="C14" s="29">
        <f>'Допущения'!$E$20*12*'Допущения'!$E$21+'Допущения'!$E$22*'Допущения'!$E$23-'Допущения'!$E$24</f>
        <v/>
      </c>
    </row>
    <row r="15">
      <c r="A15" s="28" t="inlineStr">
        <is>
          <t>Затраты банка на один дроп-кейс</t>
        </is>
      </c>
      <c r="B15" s="28" t="inlineStr">
        <is>
          <t>₽</t>
        </is>
      </c>
      <c r="C15" s="29">
        <f>'Допущения'!$E$28*'Допущения'!$E$29+'Допущения'!$E$30*'Допущения'!$E$31+'Допущения'!$E$32*'Допущения'!$E$33+'Допущения'!$E$34</f>
        <v/>
      </c>
    </row>
    <row r="16">
      <c r="A16" s="28" t="inlineStr">
        <is>
          <t>Квартальная ставка дисконтирования</t>
        </is>
      </c>
      <c r="B16" s="28" t="inlineStr">
        <is>
          <t>доля</t>
        </is>
      </c>
      <c r="C16" s="31">
        <f>(1+'Допущения'!$E$81)^(1/4)-1</f>
        <v/>
      </c>
    </row>
    <row r="17">
      <c r="A17" s="28" t="inlineStr">
        <is>
          <t>Полная стоимость сотрудника к зарплате (взносы + накладные)</t>
        </is>
      </c>
      <c r="B17" s="28" t="inlineStr">
        <is>
          <t>x</t>
        </is>
      </c>
      <c r="C17" s="32">
        <f>(1+'Допущения'!$E$76)*(1+'Допущения'!$E$77)</f>
        <v/>
      </c>
    </row>
    <row r="18">
      <c r="A18" s="28" t="inlineStr">
        <is>
          <t>Этап 2: дроп-кейсов среди клиентов ВТБ 23+ в год (без продукта)</t>
        </is>
      </c>
      <c r="B18" s="28" t="inlineStr">
        <is>
          <t>шт.</t>
        </is>
      </c>
      <c r="C18" s="29">
        <f>'Допущения'!$E$14*12*'Допущения'!$E$50*'Допущения'!$E$51</f>
        <v/>
      </c>
    </row>
    <row r="19">
      <c r="A19" s="28" t="inlineStr">
        <is>
          <t>Ценность будущего взрослого клиента на сегодня (на одного молодого клиента)</t>
        </is>
      </c>
      <c r="B19" s="28" t="inlineStr">
        <is>
          <t>₽</t>
        </is>
      </c>
      <c r="C19" s="29">
        <f>'Допущения'!$E$57*'Допущения'!$E$53*(1-(1+'Допущения'!$E$81)^(-'Допущения'!$E$59))/'Допущения'!$E$81/(1+'Допущения'!$E$81)^'Допущения'!$E$58</f>
        <v/>
      </c>
    </row>
    <row r="20">
      <c r="A20" s="28" t="inlineStr">
        <is>
          <t>Мост: дополнительно остаются в ВТБ при переходе в 14 лет</t>
        </is>
      </c>
      <c r="B20" s="28" t="inlineStr">
        <is>
          <t>чел./год</t>
        </is>
      </c>
      <c r="C20" s="29">
        <f>'Допущения'!$E$63*'Допущения'!$E$64*'Допущения'!$E$65*'Допущения'!$E$62</f>
        <v/>
      </c>
    </row>
    <row r="21">
      <c r="A21" s="28" t="inlineStr">
        <is>
          <t>Пушкинская карта: новых клиентов через «Старт»</t>
        </is>
      </c>
      <c r="B21" s="28" t="inlineStr">
        <is>
          <t>чел./год</t>
        </is>
      </c>
      <c r="C21" s="29">
        <f>'Допущения'!$E$67*'Допущения'!$E$68*'Допущения'!$E$69*'Допущения'!$E$66</f>
        <v/>
      </c>
    </row>
    <row r="22"/>
    <row r="23">
      <c r="A23" s="3" t="inlineStr">
        <is>
          <t>Показатель</t>
        </is>
      </c>
      <c r="B23" s="3" t="inlineStr">
        <is>
          <t>Ед.</t>
        </is>
      </c>
      <c r="C23" s="33" t="inlineStr">
        <is>
          <t>Q1 2027</t>
        </is>
      </c>
      <c r="D23" s="33" t="inlineStr">
        <is>
          <t>Q2 2027</t>
        </is>
      </c>
      <c r="E23" s="33" t="inlineStr">
        <is>
          <t>Q3 2027</t>
        </is>
      </c>
      <c r="F23" s="33" t="inlineStr">
        <is>
          <t>Q4 2027</t>
        </is>
      </c>
      <c r="G23" s="33" t="inlineStr">
        <is>
          <t>Q1 2028</t>
        </is>
      </c>
      <c r="H23" s="33" t="inlineStr">
        <is>
          <t>Q2 2028</t>
        </is>
      </c>
      <c r="I23" s="33" t="inlineStr">
        <is>
          <t>Q3 2028</t>
        </is>
      </c>
      <c r="J23" s="33" t="inlineStr">
        <is>
          <t>Q4 2028</t>
        </is>
      </c>
      <c r="K23" s="33" t="inlineStr">
        <is>
          <t>Q1 2029</t>
        </is>
      </c>
      <c r="L23" s="33" t="inlineStr">
        <is>
          <t>Q2 2029</t>
        </is>
      </c>
      <c r="M23" s="33" t="inlineStr">
        <is>
          <t>Q3 2029</t>
        </is>
      </c>
      <c r="N23" s="33" t="inlineStr">
        <is>
          <t>Q4 2029</t>
        </is>
      </c>
      <c r="O23" s="33" t="inlineStr">
        <is>
          <t>Q1 2030</t>
        </is>
      </c>
      <c r="P23" s="33" t="inlineStr">
        <is>
          <t>Q2 2030</t>
        </is>
      </c>
      <c r="Q23" s="33" t="inlineStr">
        <is>
          <t>Q3 2030</t>
        </is>
      </c>
      <c r="R23" s="33" t="inlineStr">
        <is>
          <t>Q4 2030</t>
        </is>
      </c>
      <c r="S23" s="33" t="inlineStr">
        <is>
          <t>Q1 2031</t>
        </is>
      </c>
      <c r="T23" s="33" t="inlineStr">
        <is>
          <t>Q2 2031</t>
        </is>
      </c>
      <c r="U23" s="33" t="inlineStr">
        <is>
          <t>Q3 2031</t>
        </is>
      </c>
      <c r="V23" s="33" t="inlineStr">
        <is>
          <t>Q4 2031</t>
        </is>
      </c>
      <c r="W23" s="3" t="n"/>
      <c r="X23" s="33" t="inlineStr">
        <is>
          <t>2027</t>
        </is>
      </c>
      <c r="Y23" s="33" t="inlineStr">
        <is>
          <t>2028</t>
        </is>
      </c>
      <c r="Z23" s="33" t="inlineStr">
        <is>
          <t>2029</t>
        </is>
      </c>
      <c r="AA23" s="33" t="inlineStr">
        <is>
          <t>2030</t>
        </is>
      </c>
      <c r="AB23" s="33" t="inlineStr">
        <is>
          <t>2031</t>
        </is>
      </c>
      <c r="AC23" s="33" t="inlineStr">
        <is>
          <t>Итого</t>
        </is>
      </c>
    </row>
    <row r="24">
      <c r="A24" s="28" t="inlineStr">
        <is>
          <t>Номер квартала</t>
        </is>
      </c>
      <c r="B24" s="28" t="inlineStr">
        <is>
          <t>№</t>
        </is>
      </c>
      <c r="C24" s="34">
        <f>1</f>
        <v/>
      </c>
      <c r="D24" s="34">
        <f>C24+1</f>
        <v/>
      </c>
      <c r="E24" s="34">
        <f>D24+1</f>
        <v/>
      </c>
      <c r="F24" s="34">
        <f>E24+1</f>
        <v/>
      </c>
      <c r="G24" s="34">
        <f>F24+1</f>
        <v/>
      </c>
      <c r="H24" s="34">
        <f>G24+1</f>
        <v/>
      </c>
      <c r="I24" s="34">
        <f>H24+1</f>
        <v/>
      </c>
      <c r="J24" s="34">
        <f>I24+1</f>
        <v/>
      </c>
      <c r="K24" s="34">
        <f>J24+1</f>
        <v/>
      </c>
      <c r="L24" s="34">
        <f>K24+1</f>
        <v/>
      </c>
      <c r="M24" s="34">
        <f>L24+1</f>
        <v/>
      </c>
      <c r="N24" s="34">
        <f>M24+1</f>
        <v/>
      </c>
      <c r="O24" s="34">
        <f>N24+1</f>
        <v/>
      </c>
      <c r="P24" s="34">
        <f>O24+1</f>
        <v/>
      </c>
      <c r="Q24" s="34">
        <f>P24+1</f>
        <v/>
      </c>
      <c r="R24" s="34">
        <f>Q24+1</f>
        <v/>
      </c>
      <c r="S24" s="34">
        <f>R24+1</f>
        <v/>
      </c>
      <c r="T24" s="34">
        <f>S24+1</f>
        <v/>
      </c>
      <c r="U24" s="34">
        <f>T24+1</f>
        <v/>
      </c>
      <c r="V24" s="34">
        <f>U24+1</f>
        <v/>
      </c>
    </row>
    <row r="25">
      <c r="A25" s="28" t="inlineStr">
        <is>
          <t>Флаг: разработка и пилот (полная команда)</t>
        </is>
      </c>
      <c r="B25" s="28" t="inlineStr">
        <is>
          <t>0/1</t>
        </is>
      </c>
      <c r="C25" s="34">
        <f>IF(C24&lt;='Допущения'!$E$74,1,0)</f>
        <v/>
      </c>
      <c r="D25" s="34">
        <f>IF(D24&lt;='Допущения'!$E$74,1,0)</f>
        <v/>
      </c>
      <c r="E25" s="34">
        <f>IF(E24&lt;='Допущения'!$E$74,1,0)</f>
        <v/>
      </c>
      <c r="F25" s="34">
        <f>IF(F24&lt;='Допущения'!$E$74,1,0)</f>
        <v/>
      </c>
      <c r="G25" s="34">
        <f>IF(G24&lt;='Допущения'!$E$74,1,0)</f>
        <v/>
      </c>
      <c r="H25" s="34">
        <f>IF(H24&lt;='Допущения'!$E$74,1,0)</f>
        <v/>
      </c>
      <c r="I25" s="34">
        <f>IF(I24&lt;='Допущения'!$E$74,1,0)</f>
        <v/>
      </c>
      <c r="J25" s="34">
        <f>IF(J24&lt;='Допущения'!$E$74,1,0)</f>
        <v/>
      </c>
      <c r="K25" s="34">
        <f>IF(K24&lt;='Допущения'!$E$74,1,0)</f>
        <v/>
      </c>
      <c r="L25" s="34">
        <f>IF(L24&lt;='Допущения'!$E$74,1,0)</f>
        <v/>
      </c>
      <c r="M25" s="34">
        <f>IF(M24&lt;='Допущения'!$E$74,1,0)</f>
        <v/>
      </c>
      <c r="N25" s="34">
        <f>IF(N24&lt;='Допущения'!$E$74,1,0)</f>
        <v/>
      </c>
      <c r="O25" s="34">
        <f>IF(O24&lt;='Допущения'!$E$74,1,0)</f>
        <v/>
      </c>
      <c r="P25" s="34">
        <f>IF(P24&lt;='Допущения'!$E$74,1,0)</f>
        <v/>
      </c>
      <c r="Q25" s="34">
        <f>IF(Q24&lt;='Допущения'!$E$74,1,0)</f>
        <v/>
      </c>
      <c r="R25" s="34">
        <f>IF(R24&lt;='Допущения'!$E$74,1,0)</f>
        <v/>
      </c>
      <c r="S25" s="34">
        <f>IF(S24&lt;='Допущения'!$E$74,1,0)</f>
        <v/>
      </c>
      <c r="T25" s="34">
        <f>IF(T24&lt;='Допущения'!$E$74,1,0)</f>
        <v/>
      </c>
      <c r="U25" s="34">
        <f>IF(U24&lt;='Допущения'!$E$74,1,0)</f>
        <v/>
      </c>
      <c r="V25" s="34">
        <f>IF(V24&lt;='Допущения'!$E$74,1,0)</f>
        <v/>
      </c>
    </row>
    <row r="26">
      <c r="A26" s="28" t="inlineStr">
        <is>
          <t>Флаг: продукт запущен для всех</t>
        </is>
      </c>
      <c r="B26" s="28" t="inlineStr">
        <is>
          <t>0/1</t>
        </is>
      </c>
      <c r="C26" s="34">
        <f>IF(C24&gt;='Допущения'!$E$75,1,0)</f>
        <v/>
      </c>
      <c r="D26" s="34">
        <f>IF(D24&gt;='Допущения'!$E$75,1,0)</f>
        <v/>
      </c>
      <c r="E26" s="34">
        <f>IF(E24&gt;='Допущения'!$E$75,1,0)</f>
        <v/>
      </c>
      <c r="F26" s="34">
        <f>IF(F24&gt;='Допущения'!$E$75,1,0)</f>
        <v/>
      </c>
      <c r="G26" s="34">
        <f>IF(G24&gt;='Допущения'!$E$75,1,0)</f>
        <v/>
      </c>
      <c r="H26" s="34">
        <f>IF(H24&gt;='Допущения'!$E$75,1,0)</f>
        <v/>
      </c>
      <c r="I26" s="34">
        <f>IF(I24&gt;='Допущения'!$E$75,1,0)</f>
        <v/>
      </c>
      <c r="J26" s="34">
        <f>IF(J24&gt;='Допущения'!$E$75,1,0)</f>
        <v/>
      </c>
      <c r="K26" s="34">
        <f>IF(K24&gt;='Допущения'!$E$75,1,0)</f>
        <v/>
      </c>
      <c r="L26" s="34">
        <f>IF(L24&gt;='Допущения'!$E$75,1,0)</f>
        <v/>
      </c>
      <c r="M26" s="34">
        <f>IF(M24&gt;='Допущения'!$E$75,1,0)</f>
        <v/>
      </c>
      <c r="N26" s="34">
        <f>IF(N24&gt;='Допущения'!$E$75,1,0)</f>
        <v/>
      </c>
      <c r="O26" s="34">
        <f>IF(O24&gt;='Допущения'!$E$75,1,0)</f>
        <v/>
      </c>
      <c r="P26" s="34">
        <f>IF(P24&gt;='Допущения'!$E$75,1,0)</f>
        <v/>
      </c>
      <c r="Q26" s="34">
        <f>IF(Q24&gt;='Допущения'!$E$75,1,0)</f>
        <v/>
      </c>
      <c r="R26" s="34">
        <f>IF(R24&gt;='Допущения'!$E$75,1,0)</f>
        <v/>
      </c>
      <c r="S26" s="34">
        <f>IF(S24&gt;='Допущения'!$E$75,1,0)</f>
        <v/>
      </c>
      <c r="T26" s="34">
        <f>IF(T24&gt;='Допущения'!$E$75,1,0)</f>
        <v/>
      </c>
      <c r="U26" s="34">
        <f>IF(U24&gt;='Допущения'!$E$75,1,0)</f>
        <v/>
      </c>
      <c r="V26" s="34">
        <f>IF(V24&gt;='Допущения'!$E$75,1,0)</f>
        <v/>
      </c>
    </row>
    <row r="27">
      <c r="A27" s="28" t="inlineStr">
        <is>
          <t>Покрытие перехватом (доля молодых клиентов)</t>
        </is>
      </c>
      <c r="B27" s="28" t="inlineStr">
        <is>
          <t>доля</t>
        </is>
      </c>
      <c r="C27" s="35">
        <f>'Допущения'!C$100</f>
        <v/>
      </c>
      <c r="D27" s="35">
        <f>'Допущения'!D$100</f>
        <v/>
      </c>
      <c r="E27" s="35">
        <f>'Допущения'!E$100</f>
        <v/>
      </c>
      <c r="F27" s="35">
        <f>'Допущения'!F$100</f>
        <v/>
      </c>
      <c r="G27" s="35">
        <f>'Допущения'!G$100</f>
        <v/>
      </c>
      <c r="H27" s="35">
        <f>'Допущения'!H$100</f>
        <v/>
      </c>
      <c r="I27" s="35">
        <f>'Допущения'!I$100</f>
        <v/>
      </c>
      <c r="J27" s="35">
        <f>'Допущения'!J$100</f>
        <v/>
      </c>
      <c r="K27" s="35">
        <f>'Допущения'!K$100</f>
        <v/>
      </c>
      <c r="L27" s="35">
        <f>'Допущения'!L$100</f>
        <v/>
      </c>
      <c r="M27" s="35">
        <f>'Допущения'!M$100</f>
        <v/>
      </c>
      <c r="N27" s="35">
        <f>'Допущения'!N$100</f>
        <v/>
      </c>
      <c r="O27" s="35">
        <f>'Допущения'!O$100</f>
        <v/>
      </c>
      <c r="P27" s="35">
        <f>'Допущения'!P$100</f>
        <v/>
      </c>
      <c r="Q27" s="35">
        <f>'Допущения'!Q$100</f>
        <v/>
      </c>
      <c r="R27" s="35">
        <f>'Допущения'!R$100</f>
        <v/>
      </c>
      <c r="S27" s="35">
        <f>'Допущения'!S$100</f>
        <v/>
      </c>
      <c r="T27" s="35">
        <f>'Допущения'!T$100</f>
        <v/>
      </c>
      <c r="U27" s="35">
        <f>'Допущения'!U$100</f>
        <v/>
      </c>
      <c r="V27" s="35">
        <f>'Допущения'!V$100</f>
        <v/>
      </c>
      <c r="X27" s="35">
        <f>F27</f>
        <v/>
      </c>
      <c r="Y27" s="35">
        <f>J27</f>
        <v/>
      </c>
      <c r="Z27" s="35">
        <f>N27</f>
        <v/>
      </c>
      <c r="AA27" s="35">
        <f>R27</f>
        <v/>
      </c>
      <c r="AB27" s="35">
        <f>V27</f>
        <v/>
      </c>
      <c r="AC27" s="36">
        <f>V27</f>
        <v/>
      </c>
    </row>
    <row r="28">
      <c r="A28" s="28" t="inlineStr">
        <is>
          <t>Флаг: этап 2 (перехват для клиентов 23+)</t>
        </is>
      </c>
      <c r="B28" s="28" t="inlineStr">
        <is>
          <t>0/1</t>
        </is>
      </c>
      <c r="C28" s="34">
        <f>IF(C24&gt;='Допущения'!$E$49,1,0)*'Допущения'!$E$48</f>
        <v/>
      </c>
      <c r="D28" s="34">
        <f>IF(D24&gt;='Допущения'!$E$49,1,0)*'Допущения'!$E$48</f>
        <v/>
      </c>
      <c r="E28" s="34">
        <f>IF(E24&gt;='Допущения'!$E$49,1,0)*'Допущения'!$E$48</f>
        <v/>
      </c>
      <c r="F28" s="34">
        <f>IF(F24&gt;='Допущения'!$E$49,1,0)*'Допущения'!$E$48</f>
        <v/>
      </c>
      <c r="G28" s="34">
        <f>IF(G24&gt;='Допущения'!$E$49,1,0)*'Допущения'!$E$48</f>
        <v/>
      </c>
      <c r="H28" s="34">
        <f>IF(H24&gt;='Допущения'!$E$49,1,0)*'Допущения'!$E$48</f>
        <v/>
      </c>
      <c r="I28" s="34">
        <f>IF(I24&gt;='Допущения'!$E$49,1,0)*'Допущения'!$E$48</f>
        <v/>
      </c>
      <c r="J28" s="34">
        <f>IF(J24&gt;='Допущения'!$E$49,1,0)*'Допущения'!$E$48</f>
        <v/>
      </c>
      <c r="K28" s="34">
        <f>IF(K24&gt;='Допущения'!$E$49,1,0)*'Допущения'!$E$48</f>
        <v/>
      </c>
      <c r="L28" s="34">
        <f>IF(L24&gt;='Допущения'!$E$49,1,0)*'Допущения'!$E$48</f>
        <v/>
      </c>
      <c r="M28" s="34">
        <f>IF(M24&gt;='Допущения'!$E$49,1,0)*'Допущения'!$E$48</f>
        <v/>
      </c>
      <c r="N28" s="34">
        <f>IF(N24&gt;='Допущения'!$E$49,1,0)*'Допущения'!$E$48</f>
        <v/>
      </c>
      <c r="O28" s="34">
        <f>IF(O24&gt;='Допущения'!$E$49,1,0)*'Допущения'!$E$48</f>
        <v/>
      </c>
      <c r="P28" s="34">
        <f>IF(P24&gt;='Допущения'!$E$49,1,0)*'Допущения'!$E$48</f>
        <v/>
      </c>
      <c r="Q28" s="34">
        <f>IF(Q24&gt;='Допущения'!$E$49,1,0)*'Допущения'!$E$48</f>
        <v/>
      </c>
      <c r="R28" s="34">
        <f>IF(R24&gt;='Допущения'!$E$49,1,0)*'Допущения'!$E$48</f>
        <v/>
      </c>
      <c r="S28" s="34">
        <f>IF(S24&gt;='Допущения'!$E$49,1,0)*'Допущения'!$E$48</f>
        <v/>
      </c>
      <c r="T28" s="34">
        <f>IF(T24&gt;='Допущения'!$E$49,1,0)*'Допущения'!$E$48</f>
        <v/>
      </c>
      <c r="U28" s="34">
        <f>IF(U24&gt;='Допущения'!$E$49,1,0)*'Допущения'!$E$48</f>
        <v/>
      </c>
      <c r="V28" s="34">
        <f>IF(V24&gt;='Допущения'!$E$49,1,0)*'Допущения'!$E$48</f>
        <v/>
      </c>
    </row>
    <row r="29">
      <c r="A29" s="4" t="inlineStr">
        <is>
          <t>Охват раздела «Старт»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28" t="inlineStr">
        <is>
          <t>Доля молодых клиентов ВТБ — MAU раздела</t>
        </is>
      </c>
      <c r="B30" s="28" t="inlineStr">
        <is>
          <t>доля</t>
        </is>
      </c>
      <c r="C30" s="35">
        <f>MIN('Допущения'!$E$73,'Допущения'!C$99*'Допущения'!$E$72)</f>
        <v/>
      </c>
      <c r="D30" s="35">
        <f>MIN('Допущения'!$E$73,'Допущения'!D$99*'Допущения'!$E$72)</f>
        <v/>
      </c>
      <c r="E30" s="35">
        <f>MIN('Допущения'!$E$73,'Допущения'!E$99*'Допущения'!$E$72)</f>
        <v/>
      </c>
      <c r="F30" s="35">
        <f>MIN('Допущения'!$E$73,'Допущения'!F$99*'Допущения'!$E$72)</f>
        <v/>
      </c>
      <c r="G30" s="35">
        <f>MIN('Допущения'!$E$73,'Допущения'!G$99*'Допущения'!$E$72)</f>
        <v/>
      </c>
      <c r="H30" s="35">
        <f>MIN('Допущения'!$E$73,'Допущения'!H$99*'Допущения'!$E$72)</f>
        <v/>
      </c>
      <c r="I30" s="35">
        <f>MIN('Допущения'!$E$73,'Допущения'!I$99*'Допущения'!$E$72)</f>
        <v/>
      </c>
      <c r="J30" s="35">
        <f>MIN('Допущения'!$E$73,'Допущения'!J$99*'Допущения'!$E$72)</f>
        <v/>
      </c>
      <c r="K30" s="35">
        <f>MIN('Допущения'!$E$73,'Допущения'!K$99*'Допущения'!$E$72)</f>
        <v/>
      </c>
      <c r="L30" s="35">
        <f>MIN('Допущения'!$E$73,'Допущения'!L$99*'Допущения'!$E$72)</f>
        <v/>
      </c>
      <c r="M30" s="35">
        <f>MIN('Допущения'!$E$73,'Допущения'!M$99*'Допущения'!$E$72)</f>
        <v/>
      </c>
      <c r="N30" s="35">
        <f>MIN('Допущения'!$E$73,'Допущения'!N$99*'Допущения'!$E$72)</f>
        <v/>
      </c>
      <c r="O30" s="35">
        <f>MIN('Допущения'!$E$73,'Допущения'!O$99*'Допущения'!$E$72)</f>
        <v/>
      </c>
      <c r="P30" s="35">
        <f>MIN('Допущения'!$E$73,'Допущения'!P$99*'Допущения'!$E$72)</f>
        <v/>
      </c>
      <c r="Q30" s="35">
        <f>MIN('Допущения'!$E$73,'Допущения'!Q$99*'Допущения'!$E$72)</f>
        <v/>
      </c>
      <c r="R30" s="35">
        <f>MIN('Допущения'!$E$73,'Допущения'!R$99*'Допущения'!$E$72)</f>
        <v/>
      </c>
      <c r="S30" s="35">
        <f>MIN('Допущения'!$E$73,'Допущения'!S$99*'Допущения'!$E$72)</f>
        <v/>
      </c>
      <c r="T30" s="35">
        <f>MIN('Допущения'!$E$73,'Допущения'!T$99*'Допущения'!$E$72)</f>
        <v/>
      </c>
      <c r="U30" s="35">
        <f>MIN('Допущения'!$E$73,'Допущения'!U$99*'Допущения'!$E$72)</f>
        <v/>
      </c>
      <c r="V30" s="35">
        <f>MIN('Допущения'!$E$73,'Допущения'!V$99*'Допущения'!$E$72)</f>
        <v/>
      </c>
      <c r="X30" s="35">
        <f>F30</f>
        <v/>
      </c>
      <c r="Y30" s="35">
        <f>J30</f>
        <v/>
      </c>
      <c r="Z30" s="35">
        <f>N30</f>
        <v/>
      </c>
      <c r="AA30" s="35">
        <f>R30</f>
        <v/>
      </c>
      <c r="AB30" s="35">
        <f>V30</f>
        <v/>
      </c>
      <c r="AC30" s="36">
        <f>V30</f>
        <v/>
      </c>
    </row>
    <row r="31">
      <c r="A31" s="28" t="inlineStr">
        <is>
          <t>MAU раздела «Старт»</t>
        </is>
      </c>
      <c r="B31" s="28" t="inlineStr">
        <is>
          <t>тыс. чел.</t>
        </is>
      </c>
      <c r="C31" s="29">
        <f>$C$9*C30</f>
        <v/>
      </c>
      <c r="D31" s="29">
        <f>$C$9*D30</f>
        <v/>
      </c>
      <c r="E31" s="29">
        <f>$C$9*E30</f>
        <v/>
      </c>
      <c r="F31" s="29">
        <f>$C$9*F30</f>
        <v/>
      </c>
      <c r="G31" s="29">
        <f>$C$9*G30</f>
        <v/>
      </c>
      <c r="H31" s="29">
        <f>$C$9*H30</f>
        <v/>
      </c>
      <c r="I31" s="29">
        <f>$C$9*I30</f>
        <v/>
      </c>
      <c r="J31" s="29">
        <f>$C$9*J30</f>
        <v/>
      </c>
      <c r="K31" s="29">
        <f>$C$9*K30</f>
        <v/>
      </c>
      <c r="L31" s="29">
        <f>$C$9*L30</f>
        <v/>
      </c>
      <c r="M31" s="29">
        <f>$C$9*M30</f>
        <v/>
      </c>
      <c r="N31" s="29">
        <f>$C$9*N30</f>
        <v/>
      </c>
      <c r="O31" s="29">
        <f>$C$9*O30</f>
        <v/>
      </c>
      <c r="P31" s="29">
        <f>$C$9*P30</f>
        <v/>
      </c>
      <c r="Q31" s="29">
        <f>$C$9*Q30</f>
        <v/>
      </c>
      <c r="R31" s="29">
        <f>$C$9*R30</f>
        <v/>
      </c>
      <c r="S31" s="29">
        <f>$C$9*S30</f>
        <v/>
      </c>
      <c r="T31" s="29">
        <f>$C$9*T30</f>
        <v/>
      </c>
      <c r="U31" s="29">
        <f>$C$9*U30</f>
        <v/>
      </c>
      <c r="V31" s="29">
        <f>$C$9*V30</f>
        <v/>
      </c>
      <c r="X31" s="29">
        <f>F31</f>
        <v/>
      </c>
      <c r="Y31" s="29">
        <f>J31</f>
        <v/>
      </c>
      <c r="Z31" s="29">
        <f>N31</f>
        <v/>
      </c>
      <c r="AA31" s="29">
        <f>R31</f>
        <v/>
      </c>
      <c r="AB31" s="29">
        <f>V31</f>
        <v/>
      </c>
      <c r="AC31" s="37">
        <f>V31</f>
        <v/>
      </c>
    </row>
    <row r="32">
      <c r="A32" s="4" t="inlineStr">
        <is>
          <t>Эффект для банка — молодёжь 14–22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28" t="inlineStr">
        <is>
          <t>Предотвращённые дроп-кейсы (перехват у всех + уроки у MAU)</t>
        </is>
      </c>
      <c r="B33" s="28" t="inlineStr">
        <is>
          <t>шт.</t>
        </is>
      </c>
      <c r="C33" s="29">
        <f>$C$9*1000*$C$12/4*(C27*'Допущения'!$E$39+C30*'Допущения'!$E$40)</f>
        <v/>
      </c>
      <c r="D33" s="29">
        <f>$C$9*1000*$C$12/4*(D27*'Допущения'!$E$39+D30*'Допущения'!$E$40)</f>
        <v/>
      </c>
      <c r="E33" s="29">
        <f>$C$9*1000*$C$12/4*(E27*'Допущения'!$E$39+E30*'Допущения'!$E$40)</f>
        <v/>
      </c>
      <c r="F33" s="29">
        <f>$C$9*1000*$C$12/4*(F27*'Допущения'!$E$39+F30*'Допущения'!$E$40)</f>
        <v/>
      </c>
      <c r="G33" s="29">
        <f>$C$9*1000*$C$12/4*(G27*'Допущения'!$E$39+G30*'Допущения'!$E$40)</f>
        <v/>
      </c>
      <c r="H33" s="29">
        <f>$C$9*1000*$C$12/4*(H27*'Допущения'!$E$39+H30*'Допущения'!$E$40)</f>
        <v/>
      </c>
      <c r="I33" s="29">
        <f>$C$9*1000*$C$12/4*(I27*'Допущения'!$E$39+I30*'Допущения'!$E$40)</f>
        <v/>
      </c>
      <c r="J33" s="29">
        <f>$C$9*1000*$C$12/4*(J27*'Допущения'!$E$39+J30*'Допущения'!$E$40)</f>
        <v/>
      </c>
      <c r="K33" s="29">
        <f>$C$9*1000*$C$12/4*(K27*'Допущения'!$E$39+K30*'Допущения'!$E$40)</f>
        <v/>
      </c>
      <c r="L33" s="29">
        <f>$C$9*1000*$C$12/4*(L27*'Допущения'!$E$39+L30*'Допущения'!$E$40)</f>
        <v/>
      </c>
      <c r="M33" s="29">
        <f>$C$9*1000*$C$12/4*(M27*'Допущения'!$E$39+M30*'Допущения'!$E$40)</f>
        <v/>
      </c>
      <c r="N33" s="29">
        <f>$C$9*1000*$C$12/4*(N27*'Допущения'!$E$39+N30*'Допущения'!$E$40)</f>
        <v/>
      </c>
      <c r="O33" s="29">
        <f>$C$9*1000*$C$12/4*(O27*'Допущения'!$E$39+O30*'Допущения'!$E$40)</f>
        <v/>
      </c>
      <c r="P33" s="29">
        <f>$C$9*1000*$C$12/4*(P27*'Допущения'!$E$39+P30*'Допущения'!$E$40)</f>
        <v/>
      </c>
      <c r="Q33" s="29">
        <f>$C$9*1000*$C$12/4*(Q27*'Допущения'!$E$39+Q30*'Допущения'!$E$40)</f>
        <v/>
      </c>
      <c r="R33" s="29">
        <f>$C$9*1000*$C$12/4*(R27*'Допущения'!$E$39+R30*'Допущения'!$E$40)</f>
        <v/>
      </c>
      <c r="S33" s="29">
        <f>$C$9*1000*$C$12/4*(S27*'Допущения'!$E$39+S30*'Допущения'!$E$40)</f>
        <v/>
      </c>
      <c r="T33" s="29">
        <f>$C$9*1000*$C$12/4*(T27*'Допущения'!$E$39+T30*'Допущения'!$E$40)</f>
        <v/>
      </c>
      <c r="U33" s="29">
        <f>$C$9*1000*$C$12/4*(U27*'Допущения'!$E$39+U30*'Допущения'!$E$40)</f>
        <v/>
      </c>
      <c r="V33" s="29">
        <f>$C$9*1000*$C$12/4*(V27*'Допущения'!$E$39+V30*'Допущения'!$E$40)</f>
        <v/>
      </c>
      <c r="X33" s="29">
        <f>SUM(C33:F33)</f>
        <v/>
      </c>
      <c r="Y33" s="29">
        <f>SUM(G33:J33)</f>
        <v/>
      </c>
      <c r="Z33" s="29">
        <f>SUM(K33:N33)</f>
        <v/>
      </c>
      <c r="AA33" s="29">
        <f>SUM(O33:R33)</f>
        <v/>
      </c>
      <c r="AB33" s="29">
        <f>SUM(S33:V33)</f>
        <v/>
      </c>
      <c r="AC33" s="37">
        <f>SUM(C33:V33)</f>
        <v/>
      </c>
    </row>
    <row r="34">
      <c r="A34" s="28" t="inlineStr">
        <is>
          <t>1. Экономия на разборе дроп-кейсов</t>
        </is>
      </c>
      <c r="B34" s="28" t="inlineStr">
        <is>
          <t>млн ₽</t>
        </is>
      </c>
      <c r="C34" s="38">
        <f>C33*$C$15/1000000</f>
        <v/>
      </c>
      <c r="D34" s="38">
        <f>D33*$C$15/1000000</f>
        <v/>
      </c>
      <c r="E34" s="38">
        <f>E33*$C$15/1000000</f>
        <v/>
      </c>
      <c r="F34" s="38">
        <f>F33*$C$15/1000000</f>
        <v/>
      </c>
      <c r="G34" s="38">
        <f>G33*$C$15/1000000</f>
        <v/>
      </c>
      <c r="H34" s="38">
        <f>H33*$C$15/1000000</f>
        <v/>
      </c>
      <c r="I34" s="38">
        <f>I33*$C$15/1000000</f>
        <v/>
      </c>
      <c r="J34" s="38">
        <f>J33*$C$15/1000000</f>
        <v/>
      </c>
      <c r="K34" s="38">
        <f>K33*$C$15/1000000</f>
        <v/>
      </c>
      <c r="L34" s="38">
        <f>L33*$C$15/1000000</f>
        <v/>
      </c>
      <c r="M34" s="38">
        <f>M33*$C$15/1000000</f>
        <v/>
      </c>
      <c r="N34" s="38">
        <f>N33*$C$15/1000000</f>
        <v/>
      </c>
      <c r="O34" s="38">
        <f>O33*$C$15/1000000</f>
        <v/>
      </c>
      <c r="P34" s="38">
        <f>P33*$C$15/1000000</f>
        <v/>
      </c>
      <c r="Q34" s="38">
        <f>Q33*$C$15/1000000</f>
        <v/>
      </c>
      <c r="R34" s="38">
        <f>R33*$C$15/1000000</f>
        <v/>
      </c>
      <c r="S34" s="38">
        <f>S33*$C$15/1000000</f>
        <v/>
      </c>
      <c r="T34" s="38">
        <f>T33*$C$15/1000000</f>
        <v/>
      </c>
      <c r="U34" s="38">
        <f>U33*$C$15/1000000</f>
        <v/>
      </c>
      <c r="V34" s="38">
        <f>V33*$C$15/1000000</f>
        <v/>
      </c>
      <c r="X34" s="38">
        <f>SUM(C34:F34)</f>
        <v/>
      </c>
      <c r="Y34" s="38">
        <f>SUM(G34:J34)</f>
        <v/>
      </c>
      <c r="Z34" s="38">
        <f>SUM(K34:N34)</f>
        <v/>
      </c>
      <c r="AA34" s="38">
        <f>SUM(O34:R34)</f>
        <v/>
      </c>
      <c r="AB34" s="38">
        <f>SUM(S34:V34)</f>
        <v/>
      </c>
      <c r="AC34" s="39">
        <f>SUM(C34:V34)</f>
        <v/>
      </c>
    </row>
    <row r="35">
      <c r="A35" s="28" t="inlineStr">
        <is>
          <t>Сохранённые клиенты (не потеряны из-за дропа), накопительно</t>
        </is>
      </c>
      <c r="B35" s="28" t="inlineStr">
        <is>
          <t>чел.</t>
        </is>
      </c>
      <c r="C35" s="29">
        <f>C33*'Допущения'!$E$35</f>
        <v/>
      </c>
      <c r="D35" s="29">
        <f>C35*(1-'Допущения'!$E$25/4)+D33*'Допущения'!$E$35</f>
        <v/>
      </c>
      <c r="E35" s="29">
        <f>D35*(1-'Допущения'!$E$25/4)+E33*'Допущения'!$E$35</f>
        <v/>
      </c>
      <c r="F35" s="29">
        <f>E35*(1-'Допущения'!$E$25/4)+F33*'Допущения'!$E$35</f>
        <v/>
      </c>
      <c r="G35" s="29">
        <f>F35*(1-'Допущения'!$E$25/4)+G33*'Допущения'!$E$35</f>
        <v/>
      </c>
      <c r="H35" s="29">
        <f>G35*(1-'Допущения'!$E$25/4)+H33*'Допущения'!$E$35</f>
        <v/>
      </c>
      <c r="I35" s="29">
        <f>H35*(1-'Допущения'!$E$25/4)+I33*'Допущения'!$E$35</f>
        <v/>
      </c>
      <c r="J35" s="29">
        <f>I35*(1-'Допущения'!$E$25/4)+J33*'Допущения'!$E$35</f>
        <v/>
      </c>
      <c r="K35" s="29">
        <f>J35*(1-'Допущения'!$E$25/4)+K33*'Допущения'!$E$35</f>
        <v/>
      </c>
      <c r="L35" s="29">
        <f>K35*(1-'Допущения'!$E$25/4)+L33*'Допущения'!$E$35</f>
        <v/>
      </c>
      <c r="M35" s="29">
        <f>L35*(1-'Допущения'!$E$25/4)+M33*'Допущения'!$E$35</f>
        <v/>
      </c>
      <c r="N35" s="29">
        <f>M35*(1-'Допущения'!$E$25/4)+N33*'Допущения'!$E$35</f>
        <v/>
      </c>
      <c r="O35" s="29">
        <f>N35*(1-'Допущения'!$E$25/4)+O33*'Допущения'!$E$35</f>
        <v/>
      </c>
      <c r="P35" s="29">
        <f>O35*(1-'Допущения'!$E$25/4)+P33*'Допущения'!$E$35</f>
        <v/>
      </c>
      <c r="Q35" s="29">
        <f>P35*(1-'Допущения'!$E$25/4)+Q33*'Допущения'!$E$35</f>
        <v/>
      </c>
      <c r="R35" s="29">
        <f>Q35*(1-'Допущения'!$E$25/4)+R33*'Допущения'!$E$35</f>
        <v/>
      </c>
      <c r="S35" s="29">
        <f>R35*(1-'Допущения'!$E$25/4)+S33*'Допущения'!$E$35</f>
        <v/>
      </c>
      <c r="T35" s="29">
        <f>S35*(1-'Допущения'!$E$25/4)+T33*'Допущения'!$E$35</f>
        <v/>
      </c>
      <c r="U35" s="29">
        <f>T35*(1-'Допущения'!$E$25/4)+U33*'Допущения'!$E$35</f>
        <v/>
      </c>
      <c r="V35" s="29">
        <f>U35*(1-'Допущения'!$E$25/4)+V33*'Допущения'!$E$35</f>
        <v/>
      </c>
      <c r="X35" s="29">
        <f>F35</f>
        <v/>
      </c>
      <c r="Y35" s="29">
        <f>J35</f>
        <v/>
      </c>
      <c r="Z35" s="29">
        <f>N35</f>
        <v/>
      </c>
      <c r="AA35" s="29">
        <f>R35</f>
        <v/>
      </c>
      <c r="AB35" s="29">
        <f>V35</f>
        <v/>
      </c>
      <c r="AC35" s="37">
        <f>V35</f>
        <v/>
      </c>
    </row>
    <row r="36">
      <c r="A36" s="28" t="inlineStr">
        <is>
          <t>2. Доход от сохранённых клиентов</t>
        </is>
      </c>
      <c r="B36" s="28" t="inlineStr">
        <is>
          <t>млн ₽</t>
        </is>
      </c>
      <c r="C36" s="38">
        <f>C35*$C$14/4/1000000</f>
        <v/>
      </c>
      <c r="D36" s="38">
        <f>D35*$C$14/4/1000000</f>
        <v/>
      </c>
      <c r="E36" s="38">
        <f>E35*$C$14/4/1000000</f>
        <v/>
      </c>
      <c r="F36" s="38">
        <f>F35*$C$14/4/1000000</f>
        <v/>
      </c>
      <c r="G36" s="38">
        <f>G35*$C$14/4/1000000</f>
        <v/>
      </c>
      <c r="H36" s="38">
        <f>H35*$C$14/4/1000000</f>
        <v/>
      </c>
      <c r="I36" s="38">
        <f>I35*$C$14/4/1000000</f>
        <v/>
      </c>
      <c r="J36" s="38">
        <f>J35*$C$14/4/1000000</f>
        <v/>
      </c>
      <c r="K36" s="38">
        <f>K35*$C$14/4/1000000</f>
        <v/>
      </c>
      <c r="L36" s="38">
        <f>L35*$C$14/4/1000000</f>
        <v/>
      </c>
      <c r="M36" s="38">
        <f>M35*$C$14/4/1000000</f>
        <v/>
      </c>
      <c r="N36" s="38">
        <f>N35*$C$14/4/1000000</f>
        <v/>
      </c>
      <c r="O36" s="38">
        <f>O35*$C$14/4/1000000</f>
        <v/>
      </c>
      <c r="P36" s="38">
        <f>P35*$C$14/4/1000000</f>
        <v/>
      </c>
      <c r="Q36" s="38">
        <f>Q35*$C$14/4/1000000</f>
        <v/>
      </c>
      <c r="R36" s="38">
        <f>R35*$C$14/4/1000000</f>
        <v/>
      </c>
      <c r="S36" s="38">
        <f>S35*$C$14/4/1000000</f>
        <v/>
      </c>
      <c r="T36" s="38">
        <f>T35*$C$14/4/1000000</f>
        <v/>
      </c>
      <c r="U36" s="38">
        <f>U35*$C$14/4/1000000</f>
        <v/>
      </c>
      <c r="V36" s="38">
        <f>V35*$C$14/4/1000000</f>
        <v/>
      </c>
      <c r="X36" s="38">
        <f>SUM(C36:F36)</f>
        <v/>
      </c>
      <c r="Y36" s="38">
        <f>SUM(G36:J36)</f>
        <v/>
      </c>
      <c r="Z36" s="38">
        <f>SUM(K36:N36)</f>
        <v/>
      </c>
      <c r="AA36" s="38">
        <f>SUM(O36:R36)</f>
        <v/>
      </c>
      <c r="AB36" s="38">
        <f>SUM(S36:V36)</f>
        <v/>
      </c>
      <c r="AC36" s="39">
        <f>SUM(C36:V36)</f>
        <v/>
      </c>
    </row>
    <row r="37">
      <c r="A37" s="28" t="inlineStr">
        <is>
          <t>Дополнительно удержанные пользователи раздела, накопительно</t>
        </is>
      </c>
      <c r="B37" s="28" t="inlineStr">
        <is>
          <t>чел.</t>
        </is>
      </c>
      <c r="C37" s="29">
        <f>C31*1000*'Допущения'!$E$41/4</f>
        <v/>
      </c>
      <c r="D37" s="29">
        <f>C37*(1-'Допущения'!$E$25/4)+D31*1000*'Допущения'!$E$41/4</f>
        <v/>
      </c>
      <c r="E37" s="29">
        <f>D37*(1-'Допущения'!$E$25/4)+E31*1000*'Допущения'!$E$41/4</f>
        <v/>
      </c>
      <c r="F37" s="29">
        <f>E37*(1-'Допущения'!$E$25/4)+F31*1000*'Допущения'!$E$41/4</f>
        <v/>
      </c>
      <c r="G37" s="29">
        <f>F37*(1-'Допущения'!$E$25/4)+G31*1000*'Допущения'!$E$41/4</f>
        <v/>
      </c>
      <c r="H37" s="29">
        <f>G37*(1-'Допущения'!$E$25/4)+H31*1000*'Допущения'!$E$41/4</f>
        <v/>
      </c>
      <c r="I37" s="29">
        <f>H37*(1-'Допущения'!$E$25/4)+I31*1000*'Допущения'!$E$41/4</f>
        <v/>
      </c>
      <c r="J37" s="29">
        <f>I37*(1-'Допущения'!$E$25/4)+J31*1000*'Допущения'!$E$41/4</f>
        <v/>
      </c>
      <c r="K37" s="29">
        <f>J37*(1-'Допущения'!$E$25/4)+K31*1000*'Допущения'!$E$41/4</f>
        <v/>
      </c>
      <c r="L37" s="29">
        <f>K37*(1-'Допущения'!$E$25/4)+L31*1000*'Допущения'!$E$41/4</f>
        <v/>
      </c>
      <c r="M37" s="29">
        <f>L37*(1-'Допущения'!$E$25/4)+M31*1000*'Допущения'!$E$41/4</f>
        <v/>
      </c>
      <c r="N37" s="29">
        <f>M37*(1-'Допущения'!$E$25/4)+N31*1000*'Допущения'!$E$41/4</f>
        <v/>
      </c>
      <c r="O37" s="29">
        <f>N37*(1-'Допущения'!$E$25/4)+O31*1000*'Допущения'!$E$41/4</f>
        <v/>
      </c>
      <c r="P37" s="29">
        <f>O37*(1-'Допущения'!$E$25/4)+P31*1000*'Допущения'!$E$41/4</f>
        <v/>
      </c>
      <c r="Q37" s="29">
        <f>P37*(1-'Допущения'!$E$25/4)+Q31*1000*'Допущения'!$E$41/4</f>
        <v/>
      </c>
      <c r="R37" s="29">
        <f>Q37*(1-'Допущения'!$E$25/4)+R31*1000*'Допущения'!$E$41/4</f>
        <v/>
      </c>
      <c r="S37" s="29">
        <f>R37*(1-'Допущения'!$E$25/4)+S31*1000*'Допущения'!$E$41/4</f>
        <v/>
      </c>
      <c r="T37" s="29">
        <f>S37*(1-'Допущения'!$E$25/4)+T31*1000*'Допущения'!$E$41/4</f>
        <v/>
      </c>
      <c r="U37" s="29">
        <f>T37*(1-'Допущения'!$E$25/4)+U31*1000*'Допущения'!$E$41/4</f>
        <v/>
      </c>
      <c r="V37" s="29">
        <f>U37*(1-'Допущения'!$E$25/4)+V31*1000*'Допущения'!$E$41/4</f>
        <v/>
      </c>
      <c r="X37" s="29">
        <f>F37</f>
        <v/>
      </c>
      <c r="Y37" s="29">
        <f>J37</f>
        <v/>
      </c>
      <c r="Z37" s="29">
        <f>N37</f>
        <v/>
      </c>
      <c r="AA37" s="29">
        <f>R37</f>
        <v/>
      </c>
      <c r="AB37" s="29">
        <f>V37</f>
        <v/>
      </c>
      <c r="AC37" s="37">
        <f>V37</f>
        <v/>
      </c>
    </row>
    <row r="38">
      <c r="A38" s="28" t="inlineStr">
        <is>
          <t>3. Доход от снижения оттока</t>
        </is>
      </c>
      <c r="B38" s="28" t="inlineStr">
        <is>
          <t>млн ₽</t>
        </is>
      </c>
      <c r="C38" s="38">
        <f>C37*$C$14/4/1000000</f>
        <v/>
      </c>
      <c r="D38" s="38">
        <f>D37*$C$14/4/1000000</f>
        <v/>
      </c>
      <c r="E38" s="38">
        <f>E37*$C$14/4/1000000</f>
        <v/>
      </c>
      <c r="F38" s="38">
        <f>F37*$C$14/4/1000000</f>
        <v/>
      </c>
      <c r="G38" s="38">
        <f>G37*$C$14/4/1000000</f>
        <v/>
      </c>
      <c r="H38" s="38">
        <f>H37*$C$14/4/1000000</f>
        <v/>
      </c>
      <c r="I38" s="38">
        <f>I37*$C$14/4/1000000</f>
        <v/>
      </c>
      <c r="J38" s="38">
        <f>J37*$C$14/4/1000000</f>
        <v/>
      </c>
      <c r="K38" s="38">
        <f>K37*$C$14/4/1000000</f>
        <v/>
      </c>
      <c r="L38" s="38">
        <f>L37*$C$14/4/1000000</f>
        <v/>
      </c>
      <c r="M38" s="38">
        <f>M37*$C$14/4/1000000</f>
        <v/>
      </c>
      <c r="N38" s="38">
        <f>N37*$C$14/4/1000000</f>
        <v/>
      </c>
      <c r="O38" s="38">
        <f>O37*$C$14/4/1000000</f>
        <v/>
      </c>
      <c r="P38" s="38">
        <f>P37*$C$14/4/1000000</f>
        <v/>
      </c>
      <c r="Q38" s="38">
        <f>Q37*$C$14/4/1000000</f>
        <v/>
      </c>
      <c r="R38" s="38">
        <f>R37*$C$14/4/1000000</f>
        <v/>
      </c>
      <c r="S38" s="38">
        <f>S37*$C$14/4/1000000</f>
        <v/>
      </c>
      <c r="T38" s="38">
        <f>T37*$C$14/4/1000000</f>
        <v/>
      </c>
      <c r="U38" s="38">
        <f>U37*$C$14/4/1000000</f>
        <v/>
      </c>
      <c r="V38" s="38">
        <f>V37*$C$14/4/1000000</f>
        <v/>
      </c>
      <c r="X38" s="38">
        <f>SUM(C38:F38)</f>
        <v/>
      </c>
      <c r="Y38" s="38">
        <f>SUM(G38:J38)</f>
        <v/>
      </c>
      <c r="Z38" s="38">
        <f>SUM(K38:N38)</f>
        <v/>
      </c>
      <c r="AA38" s="38">
        <f>SUM(O38:R38)</f>
        <v/>
      </c>
      <c r="AB38" s="38">
        <f>SUM(S38:V38)</f>
        <v/>
      </c>
      <c r="AC38" s="39">
        <f>SUM(C38:V38)</f>
        <v/>
      </c>
    </row>
    <row r="39">
      <c r="A39" s="28" t="inlineStr">
        <is>
          <t>Новые клиенты благодаря продукту, накопительно</t>
        </is>
      </c>
      <c r="B39" s="28" t="inlineStr">
        <is>
          <t>чел.</t>
        </is>
      </c>
      <c r="C39" s="29">
        <f>'Допущения'!$E$44/4*'Допущения'!$E$45*C26</f>
        <v/>
      </c>
      <c r="D39" s="29">
        <f>C39*(1-'Допущения'!$E$25/4)+'Допущения'!$E$44/4*'Допущения'!$E$45*D26</f>
        <v/>
      </c>
      <c r="E39" s="29">
        <f>D39*(1-'Допущения'!$E$25/4)+'Допущения'!$E$44/4*'Допущения'!$E$45*E26</f>
        <v/>
      </c>
      <c r="F39" s="29">
        <f>E39*(1-'Допущения'!$E$25/4)+'Допущения'!$E$44/4*'Допущения'!$E$45*F26</f>
        <v/>
      </c>
      <c r="G39" s="29">
        <f>F39*(1-'Допущения'!$E$25/4)+'Допущения'!$E$44/4*'Допущения'!$E$45*G26</f>
        <v/>
      </c>
      <c r="H39" s="29">
        <f>G39*(1-'Допущения'!$E$25/4)+'Допущения'!$E$44/4*'Допущения'!$E$45*H26</f>
        <v/>
      </c>
      <c r="I39" s="29">
        <f>H39*(1-'Допущения'!$E$25/4)+'Допущения'!$E$44/4*'Допущения'!$E$45*I26</f>
        <v/>
      </c>
      <c r="J39" s="29">
        <f>I39*(1-'Допущения'!$E$25/4)+'Допущения'!$E$44/4*'Допущения'!$E$45*J26</f>
        <v/>
      </c>
      <c r="K39" s="29">
        <f>J39*(1-'Допущения'!$E$25/4)+'Допущения'!$E$44/4*'Допущения'!$E$45*K26</f>
        <v/>
      </c>
      <c r="L39" s="29">
        <f>K39*(1-'Допущения'!$E$25/4)+'Допущения'!$E$44/4*'Допущения'!$E$45*L26</f>
        <v/>
      </c>
      <c r="M39" s="29">
        <f>L39*(1-'Допущения'!$E$25/4)+'Допущения'!$E$44/4*'Допущения'!$E$45*M26</f>
        <v/>
      </c>
      <c r="N39" s="29">
        <f>M39*(1-'Допущения'!$E$25/4)+'Допущения'!$E$44/4*'Допущения'!$E$45*N26</f>
        <v/>
      </c>
      <c r="O39" s="29">
        <f>N39*(1-'Допущения'!$E$25/4)+'Допущения'!$E$44/4*'Допущения'!$E$45*O26</f>
        <v/>
      </c>
      <c r="P39" s="29">
        <f>O39*(1-'Допущения'!$E$25/4)+'Допущения'!$E$44/4*'Допущения'!$E$45*P26</f>
        <v/>
      </c>
      <c r="Q39" s="29">
        <f>P39*(1-'Допущения'!$E$25/4)+'Допущения'!$E$44/4*'Допущения'!$E$45*Q26</f>
        <v/>
      </c>
      <c r="R39" s="29">
        <f>Q39*(1-'Допущения'!$E$25/4)+'Допущения'!$E$44/4*'Допущения'!$E$45*R26</f>
        <v/>
      </c>
      <c r="S39" s="29">
        <f>R39*(1-'Допущения'!$E$25/4)+'Допущения'!$E$44/4*'Допущения'!$E$45*S26</f>
        <v/>
      </c>
      <c r="T39" s="29">
        <f>S39*(1-'Допущения'!$E$25/4)+'Допущения'!$E$44/4*'Допущения'!$E$45*T26</f>
        <v/>
      </c>
      <c r="U39" s="29">
        <f>T39*(1-'Допущения'!$E$25/4)+'Допущения'!$E$44/4*'Допущения'!$E$45*U26</f>
        <v/>
      </c>
      <c r="V39" s="29">
        <f>U39*(1-'Допущения'!$E$25/4)+'Допущения'!$E$44/4*'Допущения'!$E$45*V26</f>
        <v/>
      </c>
      <c r="X39" s="29">
        <f>F39</f>
        <v/>
      </c>
      <c r="Y39" s="29">
        <f>J39</f>
        <v/>
      </c>
      <c r="Z39" s="29">
        <f>N39</f>
        <v/>
      </c>
      <c r="AA39" s="29">
        <f>R39</f>
        <v/>
      </c>
      <c r="AB39" s="29">
        <f>V39</f>
        <v/>
      </c>
      <c r="AC39" s="37">
        <f>V39</f>
        <v/>
      </c>
    </row>
    <row r="40">
      <c r="A40" s="28" t="inlineStr">
        <is>
          <t>4. Доход от новых клиентов</t>
        </is>
      </c>
      <c r="B40" s="28" t="inlineStr">
        <is>
          <t>млн ₽</t>
        </is>
      </c>
      <c r="C40" s="38">
        <f>C39*$C$14/4/1000000</f>
        <v/>
      </c>
      <c r="D40" s="38">
        <f>D39*$C$14/4/1000000</f>
        <v/>
      </c>
      <c r="E40" s="38">
        <f>E39*$C$14/4/1000000</f>
        <v/>
      </c>
      <c r="F40" s="38">
        <f>F39*$C$14/4/1000000</f>
        <v/>
      </c>
      <c r="G40" s="38">
        <f>G39*$C$14/4/1000000</f>
        <v/>
      </c>
      <c r="H40" s="38">
        <f>H39*$C$14/4/1000000</f>
        <v/>
      </c>
      <c r="I40" s="38">
        <f>I39*$C$14/4/1000000</f>
        <v/>
      </c>
      <c r="J40" s="38">
        <f>J39*$C$14/4/1000000</f>
        <v/>
      </c>
      <c r="K40" s="38">
        <f>K39*$C$14/4/1000000</f>
        <v/>
      </c>
      <c r="L40" s="38">
        <f>L39*$C$14/4/1000000</f>
        <v/>
      </c>
      <c r="M40" s="38">
        <f>M39*$C$14/4/1000000</f>
        <v/>
      </c>
      <c r="N40" s="38">
        <f>N39*$C$14/4/1000000</f>
        <v/>
      </c>
      <c r="O40" s="38">
        <f>O39*$C$14/4/1000000</f>
        <v/>
      </c>
      <c r="P40" s="38">
        <f>P39*$C$14/4/1000000</f>
        <v/>
      </c>
      <c r="Q40" s="38">
        <f>Q39*$C$14/4/1000000</f>
        <v/>
      </c>
      <c r="R40" s="38">
        <f>R39*$C$14/4/1000000</f>
        <v/>
      </c>
      <c r="S40" s="38">
        <f>S39*$C$14/4/1000000</f>
        <v/>
      </c>
      <c r="T40" s="38">
        <f>T39*$C$14/4/1000000</f>
        <v/>
      </c>
      <c r="U40" s="38">
        <f>U39*$C$14/4/1000000</f>
        <v/>
      </c>
      <c r="V40" s="38">
        <f>V39*$C$14/4/1000000</f>
        <v/>
      </c>
      <c r="X40" s="38">
        <f>SUM(C40:F40)</f>
        <v/>
      </c>
      <c r="Y40" s="38">
        <f>SUM(G40:J40)</f>
        <v/>
      </c>
      <c r="Z40" s="38">
        <f>SUM(K40:N40)</f>
        <v/>
      </c>
      <c r="AA40" s="38">
        <f>SUM(O40:R40)</f>
        <v/>
      </c>
      <c r="AB40" s="38">
        <f>SUM(S40:V40)</f>
        <v/>
      </c>
      <c r="AC40" s="39">
        <f>SUM(C40:V40)</f>
        <v/>
      </c>
    </row>
    <row r="41">
      <c r="A41" s="28" t="inlineStr">
        <is>
          <t>Обращения в КЦ, закрытые самообслуживанием</t>
        </is>
      </c>
      <c r="B41" s="28" t="inlineStr">
        <is>
          <t>шт.</t>
        </is>
      </c>
      <c r="C41" s="29">
        <f>$C$9*1000*'Допущения'!$E$42/4*'Допущения'!$E$43*C27</f>
        <v/>
      </c>
      <c r="D41" s="29">
        <f>$C$9*1000*'Допущения'!$E$42/4*'Допущения'!$E$43*D27</f>
        <v/>
      </c>
      <c r="E41" s="29">
        <f>$C$9*1000*'Допущения'!$E$42/4*'Допущения'!$E$43*E27</f>
        <v/>
      </c>
      <c r="F41" s="29">
        <f>$C$9*1000*'Допущения'!$E$42/4*'Допущения'!$E$43*F27</f>
        <v/>
      </c>
      <c r="G41" s="29">
        <f>$C$9*1000*'Допущения'!$E$42/4*'Допущения'!$E$43*G27</f>
        <v/>
      </c>
      <c r="H41" s="29">
        <f>$C$9*1000*'Допущения'!$E$42/4*'Допущения'!$E$43*H27</f>
        <v/>
      </c>
      <c r="I41" s="29">
        <f>$C$9*1000*'Допущения'!$E$42/4*'Допущения'!$E$43*I27</f>
        <v/>
      </c>
      <c r="J41" s="29">
        <f>$C$9*1000*'Допущения'!$E$42/4*'Допущения'!$E$43*J27</f>
        <v/>
      </c>
      <c r="K41" s="29">
        <f>$C$9*1000*'Допущения'!$E$42/4*'Допущения'!$E$43*K27</f>
        <v/>
      </c>
      <c r="L41" s="29">
        <f>$C$9*1000*'Допущения'!$E$42/4*'Допущения'!$E$43*L27</f>
        <v/>
      </c>
      <c r="M41" s="29">
        <f>$C$9*1000*'Допущения'!$E$42/4*'Допущения'!$E$43*M27</f>
        <v/>
      </c>
      <c r="N41" s="29">
        <f>$C$9*1000*'Допущения'!$E$42/4*'Допущения'!$E$43*N27</f>
        <v/>
      </c>
      <c r="O41" s="29">
        <f>$C$9*1000*'Допущения'!$E$42/4*'Допущения'!$E$43*O27</f>
        <v/>
      </c>
      <c r="P41" s="29">
        <f>$C$9*1000*'Допущения'!$E$42/4*'Допущения'!$E$43*P27</f>
        <v/>
      </c>
      <c r="Q41" s="29">
        <f>$C$9*1000*'Допущения'!$E$42/4*'Допущения'!$E$43*Q27</f>
        <v/>
      </c>
      <c r="R41" s="29">
        <f>$C$9*1000*'Допущения'!$E$42/4*'Допущения'!$E$43*R27</f>
        <v/>
      </c>
      <c r="S41" s="29">
        <f>$C$9*1000*'Допущения'!$E$42/4*'Допущения'!$E$43*S27</f>
        <v/>
      </c>
      <c r="T41" s="29">
        <f>$C$9*1000*'Допущения'!$E$42/4*'Допущения'!$E$43*T27</f>
        <v/>
      </c>
      <c r="U41" s="29">
        <f>$C$9*1000*'Допущения'!$E$42/4*'Допущения'!$E$43*U27</f>
        <v/>
      </c>
      <c r="V41" s="29">
        <f>$C$9*1000*'Допущения'!$E$42/4*'Допущения'!$E$43*V27</f>
        <v/>
      </c>
      <c r="X41" s="29">
        <f>SUM(C41:F41)</f>
        <v/>
      </c>
      <c r="Y41" s="29">
        <f>SUM(G41:J41)</f>
        <v/>
      </c>
      <c r="Z41" s="29">
        <f>SUM(K41:N41)</f>
        <v/>
      </c>
      <c r="AA41" s="29">
        <f>SUM(O41:R41)</f>
        <v/>
      </c>
      <c r="AB41" s="29">
        <f>SUM(S41:V41)</f>
        <v/>
      </c>
      <c r="AC41" s="37">
        <f>SUM(C41:V41)</f>
        <v/>
      </c>
    </row>
    <row r="42">
      <c r="A42" s="28" t="inlineStr">
        <is>
          <t>5. Экономия контакт-центра</t>
        </is>
      </c>
      <c r="B42" s="28" t="inlineStr">
        <is>
          <t>млн ₽</t>
        </is>
      </c>
      <c r="C42" s="38">
        <f>C41*'Допущения'!$E$31/1000000</f>
        <v/>
      </c>
      <c r="D42" s="38">
        <f>D41*'Допущения'!$E$31/1000000</f>
        <v/>
      </c>
      <c r="E42" s="38">
        <f>E41*'Допущения'!$E$31/1000000</f>
        <v/>
      </c>
      <c r="F42" s="38">
        <f>F41*'Допущения'!$E$31/1000000</f>
        <v/>
      </c>
      <c r="G42" s="38">
        <f>G41*'Допущения'!$E$31/1000000</f>
        <v/>
      </c>
      <c r="H42" s="38">
        <f>H41*'Допущения'!$E$31/1000000</f>
        <v/>
      </c>
      <c r="I42" s="38">
        <f>I41*'Допущения'!$E$31/1000000</f>
        <v/>
      </c>
      <c r="J42" s="38">
        <f>J41*'Допущения'!$E$31/1000000</f>
        <v/>
      </c>
      <c r="K42" s="38">
        <f>K41*'Допущения'!$E$31/1000000</f>
        <v/>
      </c>
      <c r="L42" s="38">
        <f>L41*'Допущения'!$E$31/1000000</f>
        <v/>
      </c>
      <c r="M42" s="38">
        <f>M41*'Допущения'!$E$31/1000000</f>
        <v/>
      </c>
      <c r="N42" s="38">
        <f>N41*'Допущения'!$E$31/1000000</f>
        <v/>
      </c>
      <c r="O42" s="38">
        <f>O41*'Допущения'!$E$31/1000000</f>
        <v/>
      </c>
      <c r="P42" s="38">
        <f>P41*'Допущения'!$E$31/1000000</f>
        <v/>
      </c>
      <c r="Q42" s="38">
        <f>Q41*'Допущения'!$E$31/1000000</f>
        <v/>
      </c>
      <c r="R42" s="38">
        <f>R41*'Допущения'!$E$31/1000000</f>
        <v/>
      </c>
      <c r="S42" s="38">
        <f>S41*'Допущения'!$E$31/1000000</f>
        <v/>
      </c>
      <c r="T42" s="38">
        <f>T41*'Допущения'!$E$31/1000000</f>
        <v/>
      </c>
      <c r="U42" s="38">
        <f>U41*'Допущения'!$E$31/1000000</f>
        <v/>
      </c>
      <c r="V42" s="38">
        <f>V41*'Допущения'!$E$31/1000000</f>
        <v/>
      </c>
      <c r="X42" s="38">
        <f>SUM(C42:F42)</f>
        <v/>
      </c>
      <c r="Y42" s="38">
        <f>SUM(G42:J42)</f>
        <v/>
      </c>
      <c r="Z42" s="38">
        <f>SUM(K42:N42)</f>
        <v/>
      </c>
      <c r="AA42" s="38">
        <f>SUM(O42:R42)</f>
        <v/>
      </c>
      <c r="AB42" s="38">
        <f>SUM(S42:V42)</f>
        <v/>
      </c>
      <c r="AC42" s="39">
        <f>SUM(C42:V42)</f>
        <v/>
      </c>
    </row>
    <row r="43">
      <c r="A43" s="4" t="inlineStr">
        <is>
          <t>Эффект для банка — мост из «Детского банка» и «Пушкинская карта»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>
      <c r="A44" s="28" t="inlineStr">
        <is>
          <t>Мост 14 лет: дополнительно оставшиеся подростки, накопительно</t>
        </is>
      </c>
      <c r="B44" s="28" t="inlineStr">
        <is>
          <t>чел.</t>
        </is>
      </c>
      <c r="C44" s="29">
        <f>$C$20/4*C26</f>
        <v/>
      </c>
      <c r="D44" s="29">
        <f>C44*(1-'Допущения'!$E$25/4)+$C$20/4*D26</f>
        <v/>
      </c>
      <c r="E44" s="29">
        <f>D44*(1-'Допущения'!$E$25/4)+$C$20/4*E26</f>
        <v/>
      </c>
      <c r="F44" s="29">
        <f>E44*(1-'Допущения'!$E$25/4)+$C$20/4*F26</f>
        <v/>
      </c>
      <c r="G44" s="29">
        <f>F44*(1-'Допущения'!$E$25/4)+$C$20/4*G26</f>
        <v/>
      </c>
      <c r="H44" s="29">
        <f>G44*(1-'Допущения'!$E$25/4)+$C$20/4*H26</f>
        <v/>
      </c>
      <c r="I44" s="29">
        <f>H44*(1-'Допущения'!$E$25/4)+$C$20/4*I26</f>
        <v/>
      </c>
      <c r="J44" s="29">
        <f>I44*(1-'Допущения'!$E$25/4)+$C$20/4*J26</f>
        <v/>
      </c>
      <c r="K44" s="29">
        <f>J44*(1-'Допущения'!$E$25/4)+$C$20/4*K26</f>
        <v/>
      </c>
      <c r="L44" s="29">
        <f>K44*(1-'Допущения'!$E$25/4)+$C$20/4*L26</f>
        <v/>
      </c>
      <c r="M44" s="29">
        <f>L44*(1-'Допущения'!$E$25/4)+$C$20/4*M26</f>
        <v/>
      </c>
      <c r="N44" s="29">
        <f>M44*(1-'Допущения'!$E$25/4)+$C$20/4*N26</f>
        <v/>
      </c>
      <c r="O44" s="29">
        <f>N44*(1-'Допущения'!$E$25/4)+$C$20/4*O26</f>
        <v/>
      </c>
      <c r="P44" s="29">
        <f>O44*(1-'Допущения'!$E$25/4)+$C$20/4*P26</f>
        <v/>
      </c>
      <c r="Q44" s="29">
        <f>P44*(1-'Допущения'!$E$25/4)+$C$20/4*Q26</f>
        <v/>
      </c>
      <c r="R44" s="29">
        <f>Q44*(1-'Допущения'!$E$25/4)+$C$20/4*R26</f>
        <v/>
      </c>
      <c r="S44" s="29">
        <f>R44*(1-'Допущения'!$E$25/4)+$C$20/4*S26</f>
        <v/>
      </c>
      <c r="T44" s="29">
        <f>S44*(1-'Допущения'!$E$25/4)+$C$20/4*T26</f>
        <v/>
      </c>
      <c r="U44" s="29">
        <f>T44*(1-'Допущения'!$E$25/4)+$C$20/4*U26</f>
        <v/>
      </c>
      <c r="V44" s="29">
        <f>U44*(1-'Допущения'!$E$25/4)+$C$20/4*V26</f>
        <v/>
      </c>
      <c r="X44" s="29">
        <f>F44</f>
        <v/>
      </c>
      <c r="Y44" s="29">
        <f>J44</f>
        <v/>
      </c>
      <c r="Z44" s="29">
        <f>N44</f>
        <v/>
      </c>
      <c r="AA44" s="29">
        <f>R44</f>
        <v/>
      </c>
      <c r="AB44" s="29">
        <f>V44</f>
        <v/>
      </c>
      <c r="AC44" s="37">
        <f>V44</f>
        <v/>
      </c>
    </row>
    <row r="45">
      <c r="A45" s="28" t="inlineStr">
        <is>
          <t>8. Доход от моста «Детский банк» → «Старт»</t>
        </is>
      </c>
      <c r="B45" s="28" t="inlineStr">
        <is>
          <t>млн ₽</t>
        </is>
      </c>
      <c r="C45" s="38">
        <f>C44*$C$14/4/1000000</f>
        <v/>
      </c>
      <c r="D45" s="38">
        <f>D44*$C$14/4/1000000</f>
        <v/>
      </c>
      <c r="E45" s="38">
        <f>E44*$C$14/4/1000000</f>
        <v/>
      </c>
      <c r="F45" s="38">
        <f>F44*$C$14/4/1000000</f>
        <v/>
      </c>
      <c r="G45" s="38">
        <f>G44*$C$14/4/1000000</f>
        <v/>
      </c>
      <c r="H45" s="38">
        <f>H44*$C$14/4/1000000</f>
        <v/>
      </c>
      <c r="I45" s="38">
        <f>I44*$C$14/4/1000000</f>
        <v/>
      </c>
      <c r="J45" s="38">
        <f>J44*$C$14/4/1000000</f>
        <v/>
      </c>
      <c r="K45" s="38">
        <f>K44*$C$14/4/1000000</f>
        <v/>
      </c>
      <c r="L45" s="38">
        <f>L44*$C$14/4/1000000</f>
        <v/>
      </c>
      <c r="M45" s="38">
        <f>M44*$C$14/4/1000000</f>
        <v/>
      </c>
      <c r="N45" s="38">
        <f>N44*$C$14/4/1000000</f>
        <v/>
      </c>
      <c r="O45" s="38">
        <f>O44*$C$14/4/1000000</f>
        <v/>
      </c>
      <c r="P45" s="38">
        <f>P44*$C$14/4/1000000</f>
        <v/>
      </c>
      <c r="Q45" s="38">
        <f>Q44*$C$14/4/1000000</f>
        <v/>
      </c>
      <c r="R45" s="38">
        <f>R44*$C$14/4/1000000</f>
        <v/>
      </c>
      <c r="S45" s="38">
        <f>S44*$C$14/4/1000000</f>
        <v/>
      </c>
      <c r="T45" s="38">
        <f>T44*$C$14/4/1000000</f>
        <v/>
      </c>
      <c r="U45" s="38">
        <f>U44*$C$14/4/1000000</f>
        <v/>
      </c>
      <c r="V45" s="38">
        <f>V44*$C$14/4/1000000</f>
        <v/>
      </c>
      <c r="X45" s="38">
        <f>SUM(C45:F45)</f>
        <v/>
      </c>
      <c r="Y45" s="38">
        <f>SUM(G45:J45)</f>
        <v/>
      </c>
      <c r="Z45" s="38">
        <f>SUM(K45:N45)</f>
        <v/>
      </c>
      <c r="AA45" s="38">
        <f>SUM(O45:R45)</f>
        <v/>
      </c>
      <c r="AB45" s="38">
        <f>SUM(S45:V45)</f>
        <v/>
      </c>
      <c r="AC45" s="39">
        <f>SUM(C45:V45)</f>
        <v/>
      </c>
    </row>
    <row r="46">
      <c r="A46" s="28" t="inlineStr">
        <is>
          <t>Пушкинская карта: новые клиенты через «Старт», накопительно</t>
        </is>
      </c>
      <c r="B46" s="28" t="inlineStr">
        <is>
          <t>чел.</t>
        </is>
      </c>
      <c r="C46" s="29">
        <f>$C$21/4*C26</f>
        <v/>
      </c>
      <c r="D46" s="29">
        <f>C46*(1-'Допущения'!$E$25/4)+$C$21/4*D26</f>
        <v/>
      </c>
      <c r="E46" s="29">
        <f>D46*(1-'Допущения'!$E$25/4)+$C$21/4*E26</f>
        <v/>
      </c>
      <c r="F46" s="29">
        <f>E46*(1-'Допущения'!$E$25/4)+$C$21/4*F26</f>
        <v/>
      </c>
      <c r="G46" s="29">
        <f>F46*(1-'Допущения'!$E$25/4)+$C$21/4*G26</f>
        <v/>
      </c>
      <c r="H46" s="29">
        <f>G46*(1-'Допущения'!$E$25/4)+$C$21/4*H26</f>
        <v/>
      </c>
      <c r="I46" s="29">
        <f>H46*(1-'Допущения'!$E$25/4)+$C$21/4*I26</f>
        <v/>
      </c>
      <c r="J46" s="29">
        <f>I46*(1-'Допущения'!$E$25/4)+$C$21/4*J26</f>
        <v/>
      </c>
      <c r="K46" s="29">
        <f>J46*(1-'Допущения'!$E$25/4)+$C$21/4*K26</f>
        <v/>
      </c>
      <c r="L46" s="29">
        <f>K46*(1-'Допущения'!$E$25/4)+$C$21/4*L26</f>
        <v/>
      </c>
      <c r="M46" s="29">
        <f>L46*(1-'Допущения'!$E$25/4)+$C$21/4*M26</f>
        <v/>
      </c>
      <c r="N46" s="29">
        <f>M46*(1-'Допущения'!$E$25/4)+$C$21/4*N26</f>
        <v/>
      </c>
      <c r="O46" s="29">
        <f>N46*(1-'Допущения'!$E$25/4)+$C$21/4*O26</f>
        <v/>
      </c>
      <c r="P46" s="29">
        <f>O46*(1-'Допущения'!$E$25/4)+$C$21/4*P26</f>
        <v/>
      </c>
      <c r="Q46" s="29">
        <f>P46*(1-'Допущения'!$E$25/4)+$C$21/4*Q26</f>
        <v/>
      </c>
      <c r="R46" s="29">
        <f>Q46*(1-'Допущения'!$E$25/4)+$C$21/4*R26</f>
        <v/>
      </c>
      <c r="S46" s="29">
        <f>R46*(1-'Допущения'!$E$25/4)+$C$21/4*S26</f>
        <v/>
      </c>
      <c r="T46" s="29">
        <f>S46*(1-'Допущения'!$E$25/4)+$C$21/4*T26</f>
        <v/>
      </c>
      <c r="U46" s="29">
        <f>T46*(1-'Допущения'!$E$25/4)+$C$21/4*U26</f>
        <v/>
      </c>
      <c r="V46" s="29">
        <f>U46*(1-'Допущения'!$E$25/4)+$C$21/4*V26</f>
        <v/>
      </c>
      <c r="X46" s="29">
        <f>F46</f>
        <v/>
      </c>
      <c r="Y46" s="29">
        <f>J46</f>
        <v/>
      </c>
      <c r="Z46" s="29">
        <f>N46</f>
        <v/>
      </c>
      <c r="AA46" s="29">
        <f>R46</f>
        <v/>
      </c>
      <c r="AB46" s="29">
        <f>V46</f>
        <v/>
      </c>
      <c r="AC46" s="37">
        <f>V46</f>
        <v/>
      </c>
    </row>
    <row r="47">
      <c r="A47" s="28" t="inlineStr">
        <is>
          <t>9. Доход от клиентов из «Пушкинской карты»</t>
        </is>
      </c>
      <c r="B47" s="28" t="inlineStr">
        <is>
          <t>млн ₽</t>
        </is>
      </c>
      <c r="C47" s="38">
        <f>C46*$C$14/4/1000000</f>
        <v/>
      </c>
      <c r="D47" s="38">
        <f>D46*$C$14/4/1000000</f>
        <v/>
      </c>
      <c r="E47" s="38">
        <f>E46*$C$14/4/1000000</f>
        <v/>
      </c>
      <c r="F47" s="38">
        <f>F46*$C$14/4/1000000</f>
        <v/>
      </c>
      <c r="G47" s="38">
        <f>G46*$C$14/4/1000000</f>
        <v/>
      </c>
      <c r="H47" s="38">
        <f>H46*$C$14/4/1000000</f>
        <v/>
      </c>
      <c r="I47" s="38">
        <f>I46*$C$14/4/1000000</f>
        <v/>
      </c>
      <c r="J47" s="38">
        <f>J46*$C$14/4/1000000</f>
        <v/>
      </c>
      <c r="K47" s="38">
        <f>K46*$C$14/4/1000000</f>
        <v/>
      </c>
      <c r="L47" s="38">
        <f>L46*$C$14/4/1000000</f>
        <v/>
      </c>
      <c r="M47" s="38">
        <f>M46*$C$14/4/1000000</f>
        <v/>
      </c>
      <c r="N47" s="38">
        <f>N46*$C$14/4/1000000</f>
        <v/>
      </c>
      <c r="O47" s="38">
        <f>O46*$C$14/4/1000000</f>
        <v/>
      </c>
      <c r="P47" s="38">
        <f>P46*$C$14/4/1000000</f>
        <v/>
      </c>
      <c r="Q47" s="38">
        <f>Q46*$C$14/4/1000000</f>
        <v/>
      </c>
      <c r="R47" s="38">
        <f>R46*$C$14/4/1000000</f>
        <v/>
      </c>
      <c r="S47" s="38">
        <f>S46*$C$14/4/1000000</f>
        <v/>
      </c>
      <c r="T47" s="38">
        <f>T46*$C$14/4/1000000</f>
        <v/>
      </c>
      <c r="U47" s="38">
        <f>U46*$C$14/4/1000000</f>
        <v/>
      </c>
      <c r="V47" s="38">
        <f>V46*$C$14/4/1000000</f>
        <v/>
      </c>
      <c r="X47" s="38">
        <f>SUM(C47:F47)</f>
        <v/>
      </c>
      <c r="Y47" s="38">
        <f>SUM(G47:J47)</f>
        <v/>
      </c>
      <c r="Z47" s="38">
        <f>SUM(K47:N47)</f>
        <v/>
      </c>
      <c r="AA47" s="38">
        <f>SUM(O47:R47)</f>
        <v/>
      </c>
      <c r="AB47" s="38">
        <f>SUM(S47:V47)</f>
        <v/>
      </c>
      <c r="AC47" s="39">
        <f>SUM(C47:V47)</f>
        <v/>
      </c>
    </row>
    <row r="48">
      <c r="A48" s="4" t="inlineStr">
        <is>
          <t>Эффект для банка — этап 2: перехват для клиентов 23+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>
      <c r="A49" s="28" t="inlineStr">
        <is>
          <t>Предотвращённые дроп-кейсы 23+</t>
        </is>
      </c>
      <c r="B49" s="28" t="inlineStr">
        <is>
          <t>шт.</t>
        </is>
      </c>
      <c r="C49" s="29">
        <f>$C$18/4*'Допущения'!$E$52*C28</f>
        <v/>
      </c>
      <c r="D49" s="29">
        <f>$C$18/4*'Допущения'!$E$52*D28</f>
        <v/>
      </c>
      <c r="E49" s="29">
        <f>$C$18/4*'Допущения'!$E$52*E28</f>
        <v/>
      </c>
      <c r="F49" s="29">
        <f>$C$18/4*'Допущения'!$E$52*F28</f>
        <v/>
      </c>
      <c r="G49" s="29">
        <f>$C$18/4*'Допущения'!$E$52*G28</f>
        <v/>
      </c>
      <c r="H49" s="29">
        <f>$C$18/4*'Допущения'!$E$52*H28</f>
        <v/>
      </c>
      <c r="I49" s="29">
        <f>$C$18/4*'Допущения'!$E$52*I28</f>
        <v/>
      </c>
      <c r="J49" s="29">
        <f>$C$18/4*'Допущения'!$E$52*J28</f>
        <v/>
      </c>
      <c r="K49" s="29">
        <f>$C$18/4*'Допущения'!$E$52*K28</f>
        <v/>
      </c>
      <c r="L49" s="29">
        <f>$C$18/4*'Допущения'!$E$52*L28</f>
        <v/>
      </c>
      <c r="M49" s="29">
        <f>$C$18/4*'Допущения'!$E$52*M28</f>
        <v/>
      </c>
      <c r="N49" s="29">
        <f>$C$18/4*'Допущения'!$E$52*N28</f>
        <v/>
      </c>
      <c r="O49" s="29">
        <f>$C$18/4*'Допущения'!$E$52*O28</f>
        <v/>
      </c>
      <c r="P49" s="29">
        <f>$C$18/4*'Допущения'!$E$52*P28</f>
        <v/>
      </c>
      <c r="Q49" s="29">
        <f>$C$18/4*'Допущения'!$E$52*Q28</f>
        <v/>
      </c>
      <c r="R49" s="29">
        <f>$C$18/4*'Допущения'!$E$52*R28</f>
        <v/>
      </c>
      <c r="S49" s="29">
        <f>$C$18/4*'Допущения'!$E$52*S28</f>
        <v/>
      </c>
      <c r="T49" s="29">
        <f>$C$18/4*'Допущения'!$E$52*T28</f>
        <v/>
      </c>
      <c r="U49" s="29">
        <f>$C$18/4*'Допущения'!$E$52*U28</f>
        <v/>
      </c>
      <c r="V49" s="29">
        <f>$C$18/4*'Допущения'!$E$52*V28</f>
        <v/>
      </c>
      <c r="X49" s="29">
        <f>SUM(C49:F49)</f>
        <v/>
      </c>
      <c r="Y49" s="29">
        <f>SUM(G49:J49)</f>
        <v/>
      </c>
      <c r="Z49" s="29">
        <f>SUM(K49:N49)</f>
        <v/>
      </c>
      <c r="AA49" s="29">
        <f>SUM(O49:R49)</f>
        <v/>
      </c>
      <c r="AB49" s="29">
        <f>SUM(S49:V49)</f>
        <v/>
      </c>
      <c r="AC49" s="37">
        <f>SUM(C49:V49)</f>
        <v/>
      </c>
    </row>
    <row r="50">
      <c r="A50" s="28" t="inlineStr">
        <is>
          <t>6. Экономия на разборе дроп-кейсов 23+</t>
        </is>
      </c>
      <c r="B50" s="28" t="inlineStr">
        <is>
          <t>млн ₽</t>
        </is>
      </c>
      <c r="C50" s="38">
        <f>C49*$C$15/1000000</f>
        <v/>
      </c>
      <c r="D50" s="38">
        <f>D49*$C$15/1000000</f>
        <v/>
      </c>
      <c r="E50" s="38">
        <f>E49*$C$15/1000000</f>
        <v/>
      </c>
      <c r="F50" s="38">
        <f>F49*$C$15/1000000</f>
        <v/>
      </c>
      <c r="G50" s="38">
        <f>G49*$C$15/1000000</f>
        <v/>
      </c>
      <c r="H50" s="38">
        <f>H49*$C$15/1000000</f>
        <v/>
      </c>
      <c r="I50" s="38">
        <f>I49*$C$15/1000000</f>
        <v/>
      </c>
      <c r="J50" s="38">
        <f>J49*$C$15/1000000</f>
        <v/>
      </c>
      <c r="K50" s="38">
        <f>K49*$C$15/1000000</f>
        <v/>
      </c>
      <c r="L50" s="38">
        <f>L49*$C$15/1000000</f>
        <v/>
      </c>
      <c r="M50" s="38">
        <f>M49*$C$15/1000000</f>
        <v/>
      </c>
      <c r="N50" s="38">
        <f>N49*$C$15/1000000</f>
        <v/>
      </c>
      <c r="O50" s="38">
        <f>O49*$C$15/1000000</f>
        <v/>
      </c>
      <c r="P50" s="38">
        <f>P49*$C$15/1000000</f>
        <v/>
      </c>
      <c r="Q50" s="38">
        <f>Q49*$C$15/1000000</f>
        <v/>
      </c>
      <c r="R50" s="38">
        <f>R49*$C$15/1000000</f>
        <v/>
      </c>
      <c r="S50" s="38">
        <f>S49*$C$15/1000000</f>
        <v/>
      </c>
      <c r="T50" s="38">
        <f>T49*$C$15/1000000</f>
        <v/>
      </c>
      <c r="U50" s="38">
        <f>U49*$C$15/1000000</f>
        <v/>
      </c>
      <c r="V50" s="38">
        <f>V49*$C$15/1000000</f>
        <v/>
      </c>
      <c r="X50" s="38">
        <f>SUM(C50:F50)</f>
        <v/>
      </c>
      <c r="Y50" s="38">
        <f>SUM(G50:J50)</f>
        <v/>
      </c>
      <c r="Z50" s="38">
        <f>SUM(K50:N50)</f>
        <v/>
      </c>
      <c r="AA50" s="38">
        <f>SUM(O50:R50)</f>
        <v/>
      </c>
      <c r="AB50" s="38">
        <f>SUM(S50:V50)</f>
        <v/>
      </c>
      <c r="AC50" s="39">
        <f>SUM(C50:V50)</f>
        <v/>
      </c>
    </row>
    <row r="51">
      <c r="A51" s="28" t="inlineStr">
        <is>
          <t>Сохранённые взрослые клиенты, накопительно</t>
        </is>
      </c>
      <c r="B51" s="28" t="inlineStr">
        <is>
          <t>чел.</t>
        </is>
      </c>
      <c r="C51" s="29">
        <f>C49*'Допущения'!$E$35</f>
        <v/>
      </c>
      <c r="D51" s="29">
        <f>C51*(1-'Допущения'!$E$54/4)+D49*'Допущения'!$E$35</f>
        <v/>
      </c>
      <c r="E51" s="29">
        <f>D51*(1-'Допущения'!$E$54/4)+E49*'Допущения'!$E$35</f>
        <v/>
      </c>
      <c r="F51" s="29">
        <f>E51*(1-'Допущения'!$E$54/4)+F49*'Допущения'!$E$35</f>
        <v/>
      </c>
      <c r="G51" s="29">
        <f>F51*(1-'Допущения'!$E$54/4)+G49*'Допущения'!$E$35</f>
        <v/>
      </c>
      <c r="H51" s="29">
        <f>G51*(1-'Допущения'!$E$54/4)+H49*'Допущения'!$E$35</f>
        <v/>
      </c>
      <c r="I51" s="29">
        <f>H51*(1-'Допущения'!$E$54/4)+I49*'Допущения'!$E$35</f>
        <v/>
      </c>
      <c r="J51" s="29">
        <f>I51*(1-'Допущения'!$E$54/4)+J49*'Допущения'!$E$35</f>
        <v/>
      </c>
      <c r="K51" s="29">
        <f>J51*(1-'Допущения'!$E$54/4)+K49*'Допущения'!$E$35</f>
        <v/>
      </c>
      <c r="L51" s="29">
        <f>K51*(1-'Допущения'!$E$54/4)+L49*'Допущения'!$E$35</f>
        <v/>
      </c>
      <c r="M51" s="29">
        <f>L51*(1-'Допущения'!$E$54/4)+M49*'Допущения'!$E$35</f>
        <v/>
      </c>
      <c r="N51" s="29">
        <f>M51*(1-'Допущения'!$E$54/4)+N49*'Допущения'!$E$35</f>
        <v/>
      </c>
      <c r="O51" s="29">
        <f>N51*(1-'Допущения'!$E$54/4)+O49*'Допущения'!$E$35</f>
        <v/>
      </c>
      <c r="P51" s="29">
        <f>O51*(1-'Допущения'!$E$54/4)+P49*'Допущения'!$E$35</f>
        <v/>
      </c>
      <c r="Q51" s="29">
        <f>P51*(1-'Допущения'!$E$54/4)+Q49*'Допущения'!$E$35</f>
        <v/>
      </c>
      <c r="R51" s="29">
        <f>Q51*(1-'Допущения'!$E$54/4)+R49*'Допущения'!$E$35</f>
        <v/>
      </c>
      <c r="S51" s="29">
        <f>R51*(1-'Допущения'!$E$54/4)+S49*'Допущения'!$E$35</f>
        <v/>
      </c>
      <c r="T51" s="29">
        <f>S51*(1-'Допущения'!$E$54/4)+T49*'Допущения'!$E$35</f>
        <v/>
      </c>
      <c r="U51" s="29">
        <f>T51*(1-'Допущения'!$E$54/4)+U49*'Допущения'!$E$35</f>
        <v/>
      </c>
      <c r="V51" s="29">
        <f>U51*(1-'Допущения'!$E$54/4)+V49*'Допущения'!$E$35</f>
        <v/>
      </c>
      <c r="X51" s="29">
        <f>F51</f>
        <v/>
      </c>
      <c r="Y51" s="29">
        <f>J51</f>
        <v/>
      </c>
      <c r="Z51" s="29">
        <f>N51</f>
        <v/>
      </c>
      <c r="AA51" s="29">
        <f>R51</f>
        <v/>
      </c>
      <c r="AB51" s="29">
        <f>V51</f>
        <v/>
      </c>
      <c r="AC51" s="37">
        <f>V51</f>
        <v/>
      </c>
    </row>
    <row r="52">
      <c r="A52" s="28" t="inlineStr">
        <is>
          <t>7. Доход от сохранённых взрослых клиентов</t>
        </is>
      </c>
      <c r="B52" s="28" t="inlineStr">
        <is>
          <t>млн ₽</t>
        </is>
      </c>
      <c r="C52" s="38">
        <f>C51*'Допущения'!$E$53/4/1000000</f>
        <v/>
      </c>
      <c r="D52" s="38">
        <f>D51*'Допущения'!$E$53/4/1000000</f>
        <v/>
      </c>
      <c r="E52" s="38">
        <f>E51*'Допущения'!$E$53/4/1000000</f>
        <v/>
      </c>
      <c r="F52" s="38">
        <f>F51*'Допущения'!$E$53/4/1000000</f>
        <v/>
      </c>
      <c r="G52" s="38">
        <f>G51*'Допущения'!$E$53/4/1000000</f>
        <v/>
      </c>
      <c r="H52" s="38">
        <f>H51*'Допущения'!$E$53/4/1000000</f>
        <v/>
      </c>
      <c r="I52" s="38">
        <f>I51*'Допущения'!$E$53/4/1000000</f>
        <v/>
      </c>
      <c r="J52" s="38">
        <f>J51*'Допущения'!$E$53/4/1000000</f>
        <v/>
      </c>
      <c r="K52" s="38">
        <f>K51*'Допущения'!$E$53/4/1000000</f>
        <v/>
      </c>
      <c r="L52" s="38">
        <f>L51*'Допущения'!$E$53/4/1000000</f>
        <v/>
      </c>
      <c r="M52" s="38">
        <f>M51*'Допущения'!$E$53/4/1000000</f>
        <v/>
      </c>
      <c r="N52" s="38">
        <f>N51*'Допущения'!$E$53/4/1000000</f>
        <v/>
      </c>
      <c r="O52" s="38">
        <f>O51*'Допущения'!$E$53/4/1000000</f>
        <v/>
      </c>
      <c r="P52" s="38">
        <f>P51*'Допущения'!$E$53/4/1000000</f>
        <v/>
      </c>
      <c r="Q52" s="38">
        <f>Q51*'Допущения'!$E$53/4/1000000</f>
        <v/>
      </c>
      <c r="R52" s="38">
        <f>R51*'Допущения'!$E$53/4/1000000</f>
        <v/>
      </c>
      <c r="S52" s="38">
        <f>S51*'Допущения'!$E$53/4/1000000</f>
        <v/>
      </c>
      <c r="T52" s="38">
        <f>T51*'Допущения'!$E$53/4/1000000</f>
        <v/>
      </c>
      <c r="U52" s="38">
        <f>U51*'Допущения'!$E$53/4/1000000</f>
        <v/>
      </c>
      <c r="V52" s="38">
        <f>V51*'Допущения'!$E$53/4/1000000</f>
        <v/>
      </c>
      <c r="X52" s="38">
        <f>SUM(C52:F52)</f>
        <v/>
      </c>
      <c r="Y52" s="38">
        <f>SUM(G52:J52)</f>
        <v/>
      </c>
      <c r="Z52" s="38">
        <f>SUM(K52:N52)</f>
        <v/>
      </c>
      <c r="AA52" s="38">
        <f>SUM(O52:R52)</f>
        <v/>
      </c>
      <c r="AB52" s="38">
        <f>SUM(S52:V52)</f>
        <v/>
      </c>
      <c r="AC52" s="39">
        <f>SUM(C52:V52)</f>
        <v/>
      </c>
    </row>
    <row r="53">
      <c r="A53" s="40" t="inlineStr">
        <is>
          <t>ИТОГО ЭФФЕКТ</t>
        </is>
      </c>
      <c r="B53" s="41" t="inlineStr">
        <is>
          <t>млн ₽</t>
        </is>
      </c>
      <c r="C53" s="42">
        <f>C34+C36+C38+C40+C42+C45+C47+C50+C52</f>
        <v/>
      </c>
      <c r="D53" s="42">
        <f>D34+D36+D38+D40+D42+D45+D47+D50+D52</f>
        <v/>
      </c>
      <c r="E53" s="42">
        <f>E34+E36+E38+E40+E42+E45+E47+E50+E52</f>
        <v/>
      </c>
      <c r="F53" s="42">
        <f>F34+F36+F38+F40+F42+F45+F47+F50+F52</f>
        <v/>
      </c>
      <c r="G53" s="42">
        <f>G34+G36+G38+G40+G42+G45+G47+G50+G52</f>
        <v/>
      </c>
      <c r="H53" s="42">
        <f>H34+H36+H38+H40+H42+H45+H47+H50+H52</f>
        <v/>
      </c>
      <c r="I53" s="42">
        <f>I34+I36+I38+I40+I42+I45+I47+I50+I52</f>
        <v/>
      </c>
      <c r="J53" s="42">
        <f>J34+J36+J38+J40+J42+J45+J47+J50+J52</f>
        <v/>
      </c>
      <c r="K53" s="42">
        <f>K34+K36+K38+K40+K42+K45+K47+K50+K52</f>
        <v/>
      </c>
      <c r="L53" s="42">
        <f>L34+L36+L38+L40+L42+L45+L47+L50+L52</f>
        <v/>
      </c>
      <c r="M53" s="42">
        <f>M34+M36+M38+M40+M42+M45+M47+M50+M52</f>
        <v/>
      </c>
      <c r="N53" s="42">
        <f>N34+N36+N38+N40+N42+N45+N47+N50+N52</f>
        <v/>
      </c>
      <c r="O53" s="42">
        <f>O34+O36+O38+O40+O42+O45+O47+O50+O52</f>
        <v/>
      </c>
      <c r="P53" s="42">
        <f>P34+P36+P38+P40+P42+P45+P47+P50+P52</f>
        <v/>
      </c>
      <c r="Q53" s="42">
        <f>Q34+Q36+Q38+Q40+Q42+Q45+Q47+Q50+Q52</f>
        <v/>
      </c>
      <c r="R53" s="42">
        <f>R34+R36+R38+R40+R42+R45+R47+R50+R52</f>
        <v/>
      </c>
      <c r="S53" s="42">
        <f>S34+S36+S38+S40+S42+S45+S47+S50+S52</f>
        <v/>
      </c>
      <c r="T53" s="42">
        <f>T34+T36+T38+T40+T42+T45+T47+T50+T52</f>
        <v/>
      </c>
      <c r="U53" s="42">
        <f>U34+U36+U38+U40+U42+U45+U47+U50+U52</f>
        <v/>
      </c>
      <c r="V53" s="42">
        <f>V34+V36+V38+V40+V42+V45+V47+V50+V52</f>
        <v/>
      </c>
      <c r="X53" s="42">
        <f>SUM(C53:F53)</f>
        <v/>
      </c>
      <c r="Y53" s="42">
        <f>SUM(G53:J53)</f>
        <v/>
      </c>
      <c r="Z53" s="42">
        <f>SUM(K53:N53)</f>
        <v/>
      </c>
      <c r="AA53" s="42">
        <f>SUM(O53:R53)</f>
        <v/>
      </c>
      <c r="AB53" s="42">
        <f>SUM(S53:V53)</f>
        <v/>
      </c>
      <c r="AC53" s="42">
        <f>SUM(C53:V53)</f>
        <v/>
      </c>
    </row>
    <row r="54">
      <c r="A54" s="4" t="inlineStr">
        <is>
          <t>Затраты на внедрение и поддержку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>
      <c r="A55" s="28" t="inlineStr">
        <is>
          <t>Команда: разработка и пилот</t>
        </is>
      </c>
      <c r="B55" s="28" t="inlineStr">
        <is>
          <t>млн ₽</t>
        </is>
      </c>
      <c r="C55" s="38">
        <f>C25*SUMPRODUCT('Допущения'!$C$85:$C$93,'Допущения'!$B$85:$B$93)*1000*$C$17*3/1000000</f>
        <v/>
      </c>
      <c r="D55" s="38">
        <f>D25*SUMPRODUCT('Допущения'!$C$85:$C$93,'Допущения'!$B$85:$B$93)*1000*$C$17*3/1000000</f>
        <v/>
      </c>
      <c r="E55" s="38">
        <f>E25*SUMPRODUCT('Допущения'!$C$85:$C$93,'Допущения'!$B$85:$B$93)*1000*$C$17*3/1000000</f>
        <v/>
      </c>
      <c r="F55" s="38">
        <f>F25*SUMPRODUCT('Допущения'!$C$85:$C$93,'Допущения'!$B$85:$B$93)*1000*$C$17*3/1000000</f>
        <v/>
      </c>
      <c r="G55" s="38">
        <f>G25*SUMPRODUCT('Допущения'!$C$85:$C$93,'Допущения'!$B$85:$B$93)*1000*$C$17*3/1000000</f>
        <v/>
      </c>
      <c r="H55" s="38">
        <f>H25*SUMPRODUCT('Допущения'!$C$85:$C$93,'Допущения'!$B$85:$B$93)*1000*$C$17*3/1000000</f>
        <v/>
      </c>
      <c r="I55" s="38">
        <f>I25*SUMPRODUCT('Допущения'!$C$85:$C$93,'Допущения'!$B$85:$B$93)*1000*$C$17*3/1000000</f>
        <v/>
      </c>
      <c r="J55" s="38">
        <f>J25*SUMPRODUCT('Допущения'!$C$85:$C$93,'Допущения'!$B$85:$B$93)*1000*$C$17*3/1000000</f>
        <v/>
      </c>
      <c r="K55" s="38">
        <f>K25*SUMPRODUCT('Допущения'!$C$85:$C$93,'Допущения'!$B$85:$B$93)*1000*$C$17*3/1000000</f>
        <v/>
      </c>
      <c r="L55" s="38">
        <f>L25*SUMPRODUCT('Допущения'!$C$85:$C$93,'Допущения'!$B$85:$B$93)*1000*$C$17*3/1000000</f>
        <v/>
      </c>
      <c r="M55" s="38">
        <f>M25*SUMPRODUCT('Допущения'!$C$85:$C$93,'Допущения'!$B$85:$B$93)*1000*$C$17*3/1000000</f>
        <v/>
      </c>
      <c r="N55" s="38">
        <f>N25*SUMPRODUCT('Допущения'!$C$85:$C$93,'Допущения'!$B$85:$B$93)*1000*$C$17*3/1000000</f>
        <v/>
      </c>
      <c r="O55" s="38">
        <f>O25*SUMPRODUCT('Допущения'!$C$85:$C$93,'Допущения'!$B$85:$B$93)*1000*$C$17*3/1000000</f>
        <v/>
      </c>
      <c r="P55" s="38">
        <f>P25*SUMPRODUCT('Допущения'!$C$85:$C$93,'Допущения'!$B$85:$B$93)*1000*$C$17*3/1000000</f>
        <v/>
      </c>
      <c r="Q55" s="38">
        <f>Q25*SUMPRODUCT('Допущения'!$C$85:$C$93,'Допущения'!$B$85:$B$93)*1000*$C$17*3/1000000</f>
        <v/>
      </c>
      <c r="R55" s="38">
        <f>R25*SUMPRODUCT('Допущения'!$C$85:$C$93,'Допущения'!$B$85:$B$93)*1000*$C$17*3/1000000</f>
        <v/>
      </c>
      <c r="S55" s="38">
        <f>S25*SUMPRODUCT('Допущения'!$C$85:$C$93,'Допущения'!$B$85:$B$93)*1000*$C$17*3/1000000</f>
        <v/>
      </c>
      <c r="T55" s="38">
        <f>T25*SUMPRODUCT('Допущения'!$C$85:$C$93,'Допущения'!$B$85:$B$93)*1000*$C$17*3/1000000</f>
        <v/>
      </c>
      <c r="U55" s="38">
        <f>U25*SUMPRODUCT('Допущения'!$C$85:$C$93,'Допущения'!$B$85:$B$93)*1000*$C$17*3/1000000</f>
        <v/>
      </c>
      <c r="V55" s="38">
        <f>V25*SUMPRODUCT('Допущения'!$C$85:$C$93,'Допущения'!$B$85:$B$93)*1000*$C$17*3/1000000</f>
        <v/>
      </c>
      <c r="X55" s="38">
        <f>SUM(C55:F55)</f>
        <v/>
      </c>
      <c r="Y55" s="38">
        <f>SUM(G55:J55)</f>
        <v/>
      </c>
      <c r="Z55" s="38">
        <f>SUM(K55:N55)</f>
        <v/>
      </c>
      <c r="AA55" s="38">
        <f>SUM(O55:R55)</f>
        <v/>
      </c>
      <c r="AB55" s="38">
        <f>SUM(S55:V55)</f>
        <v/>
      </c>
      <c r="AC55" s="39">
        <f>SUM(C55:V55)</f>
        <v/>
      </c>
    </row>
    <row r="56">
      <c r="A56" s="28" t="inlineStr">
        <is>
          <t>Команда: эксплуатация и развитие</t>
        </is>
      </c>
      <c r="B56" s="28" t="inlineStr">
        <is>
          <t>млн ₽</t>
        </is>
      </c>
      <c r="C56" s="38">
        <f>(1-C25)*SUMPRODUCT('Допущения'!$D$85:$D$93,'Допущения'!$B$85:$B$93)*1000*$C$17*3/1000000</f>
        <v/>
      </c>
      <c r="D56" s="38">
        <f>(1-D25)*SUMPRODUCT('Допущения'!$D$85:$D$93,'Допущения'!$B$85:$B$93)*1000*$C$17*3/1000000</f>
        <v/>
      </c>
      <c r="E56" s="38">
        <f>(1-E25)*SUMPRODUCT('Допущения'!$D$85:$D$93,'Допущения'!$B$85:$B$93)*1000*$C$17*3/1000000</f>
        <v/>
      </c>
      <c r="F56" s="38">
        <f>(1-F25)*SUMPRODUCT('Допущения'!$D$85:$D$93,'Допущения'!$B$85:$B$93)*1000*$C$17*3/1000000</f>
        <v/>
      </c>
      <c r="G56" s="38">
        <f>(1-G25)*SUMPRODUCT('Допущения'!$D$85:$D$93,'Допущения'!$B$85:$B$93)*1000*$C$17*3/1000000</f>
        <v/>
      </c>
      <c r="H56" s="38">
        <f>(1-H25)*SUMPRODUCT('Допущения'!$D$85:$D$93,'Допущения'!$B$85:$B$93)*1000*$C$17*3/1000000</f>
        <v/>
      </c>
      <c r="I56" s="38">
        <f>(1-I25)*SUMPRODUCT('Допущения'!$D$85:$D$93,'Допущения'!$B$85:$B$93)*1000*$C$17*3/1000000</f>
        <v/>
      </c>
      <c r="J56" s="38">
        <f>(1-J25)*SUMPRODUCT('Допущения'!$D$85:$D$93,'Допущения'!$B$85:$B$93)*1000*$C$17*3/1000000</f>
        <v/>
      </c>
      <c r="K56" s="38">
        <f>(1-K25)*SUMPRODUCT('Допущения'!$D$85:$D$93,'Допущения'!$B$85:$B$93)*1000*$C$17*3/1000000</f>
        <v/>
      </c>
      <c r="L56" s="38">
        <f>(1-L25)*SUMPRODUCT('Допущения'!$D$85:$D$93,'Допущения'!$B$85:$B$93)*1000*$C$17*3/1000000</f>
        <v/>
      </c>
      <c r="M56" s="38">
        <f>(1-M25)*SUMPRODUCT('Допущения'!$D$85:$D$93,'Допущения'!$B$85:$B$93)*1000*$C$17*3/1000000</f>
        <v/>
      </c>
      <c r="N56" s="38">
        <f>(1-N25)*SUMPRODUCT('Допущения'!$D$85:$D$93,'Допущения'!$B$85:$B$93)*1000*$C$17*3/1000000</f>
        <v/>
      </c>
      <c r="O56" s="38">
        <f>(1-O25)*SUMPRODUCT('Допущения'!$D$85:$D$93,'Допущения'!$B$85:$B$93)*1000*$C$17*3/1000000</f>
        <v/>
      </c>
      <c r="P56" s="38">
        <f>(1-P25)*SUMPRODUCT('Допущения'!$D$85:$D$93,'Допущения'!$B$85:$B$93)*1000*$C$17*3/1000000</f>
        <v/>
      </c>
      <c r="Q56" s="38">
        <f>(1-Q25)*SUMPRODUCT('Допущения'!$D$85:$D$93,'Допущения'!$B$85:$B$93)*1000*$C$17*3/1000000</f>
        <v/>
      </c>
      <c r="R56" s="38">
        <f>(1-R25)*SUMPRODUCT('Допущения'!$D$85:$D$93,'Допущения'!$B$85:$B$93)*1000*$C$17*3/1000000</f>
        <v/>
      </c>
      <c r="S56" s="38">
        <f>(1-S25)*SUMPRODUCT('Допущения'!$D$85:$D$93,'Допущения'!$B$85:$B$93)*1000*$C$17*3/1000000</f>
        <v/>
      </c>
      <c r="T56" s="38">
        <f>(1-T25)*SUMPRODUCT('Допущения'!$D$85:$D$93,'Допущения'!$B$85:$B$93)*1000*$C$17*3/1000000</f>
        <v/>
      </c>
      <c r="U56" s="38">
        <f>(1-U25)*SUMPRODUCT('Допущения'!$D$85:$D$93,'Допущения'!$B$85:$B$93)*1000*$C$17*3/1000000</f>
        <v/>
      </c>
      <c r="V56" s="38">
        <f>(1-V25)*SUMPRODUCT('Допущения'!$D$85:$D$93,'Допущения'!$B$85:$B$93)*1000*$C$17*3/1000000</f>
        <v/>
      </c>
      <c r="X56" s="38">
        <f>SUM(C56:F56)</f>
        <v/>
      </c>
      <c r="Y56" s="38">
        <f>SUM(G56:J56)</f>
        <v/>
      </c>
      <c r="Z56" s="38">
        <f>SUM(K56:N56)</f>
        <v/>
      </c>
      <c r="AA56" s="38">
        <f>SUM(O56:R56)</f>
        <v/>
      </c>
      <c r="AB56" s="38">
        <f>SUM(S56:V56)</f>
        <v/>
      </c>
      <c r="AC56" s="39">
        <f>SUM(C56:V56)</f>
        <v/>
      </c>
    </row>
    <row r="57">
      <c r="A57" s="28" t="inlineStr">
        <is>
          <t>Инфраструктура, ИБ, контент, маркетинг (график)</t>
        </is>
      </c>
      <c r="B57" s="28" t="inlineStr">
        <is>
          <t>млн ₽</t>
        </is>
      </c>
      <c r="C57" s="38">
        <f>SUM('Допущения'!C$101:C$106)</f>
        <v/>
      </c>
      <c r="D57" s="38">
        <f>SUM('Допущения'!D$101:D$106)</f>
        <v/>
      </c>
      <c r="E57" s="38">
        <f>SUM('Допущения'!E$101:E$106)</f>
        <v/>
      </c>
      <c r="F57" s="38">
        <f>SUM('Допущения'!F$101:F$106)</f>
        <v/>
      </c>
      <c r="G57" s="38">
        <f>SUM('Допущения'!G$101:G$106)</f>
        <v/>
      </c>
      <c r="H57" s="38">
        <f>SUM('Допущения'!H$101:H$106)</f>
        <v/>
      </c>
      <c r="I57" s="38">
        <f>SUM('Допущения'!I$101:I$106)</f>
        <v/>
      </c>
      <c r="J57" s="38">
        <f>SUM('Допущения'!J$101:J$106)</f>
        <v/>
      </c>
      <c r="K57" s="38">
        <f>SUM('Допущения'!K$101:K$106)</f>
        <v/>
      </c>
      <c r="L57" s="38">
        <f>SUM('Допущения'!L$101:L$106)</f>
        <v/>
      </c>
      <c r="M57" s="38">
        <f>SUM('Допущения'!M$101:M$106)</f>
        <v/>
      </c>
      <c r="N57" s="38">
        <f>SUM('Допущения'!N$101:N$106)</f>
        <v/>
      </c>
      <c r="O57" s="38">
        <f>SUM('Допущения'!O$101:O$106)</f>
        <v/>
      </c>
      <c r="P57" s="38">
        <f>SUM('Допущения'!P$101:P$106)</f>
        <v/>
      </c>
      <c r="Q57" s="38">
        <f>SUM('Допущения'!Q$101:Q$106)</f>
        <v/>
      </c>
      <c r="R57" s="38">
        <f>SUM('Допущения'!R$101:R$106)</f>
        <v/>
      </c>
      <c r="S57" s="38">
        <f>SUM('Допущения'!S$101:S$106)</f>
        <v/>
      </c>
      <c r="T57" s="38">
        <f>SUM('Допущения'!T$101:T$106)</f>
        <v/>
      </c>
      <c r="U57" s="38">
        <f>SUM('Допущения'!U$101:U$106)</f>
        <v/>
      </c>
      <c r="V57" s="38">
        <f>SUM('Допущения'!V$101:V$106)</f>
        <v/>
      </c>
      <c r="X57" s="38">
        <f>SUM(C57:F57)</f>
        <v/>
      </c>
      <c r="Y57" s="38">
        <f>SUM(G57:J57)</f>
        <v/>
      </c>
      <c r="Z57" s="38">
        <f>SUM(K57:N57)</f>
        <v/>
      </c>
      <c r="AA57" s="38">
        <f>SUM(O57:R57)</f>
        <v/>
      </c>
      <c r="AB57" s="38">
        <f>SUM(S57:V57)</f>
        <v/>
      </c>
      <c r="AC57" s="39">
        <f>SUM(C57:V57)</f>
        <v/>
      </c>
    </row>
    <row r="58">
      <c r="A58" s="28" t="inlineStr">
        <is>
          <t>Мост и «Пушкинская карта»: интеграция и поддержка</t>
        </is>
      </c>
      <c r="B58" s="28" t="inlineStr">
        <is>
          <t>млн ₽</t>
        </is>
      </c>
      <c r="C58" s="38">
        <f>'Допущения'!C$108*'Допущения'!$E$62+'Допущения'!C$109*'Допущения'!$E$66</f>
        <v/>
      </c>
      <c r="D58" s="38">
        <f>'Допущения'!D$108*'Допущения'!$E$62+'Допущения'!D$109*'Допущения'!$E$66</f>
        <v/>
      </c>
      <c r="E58" s="38">
        <f>'Допущения'!E$108*'Допущения'!$E$62+'Допущения'!E$109*'Допущения'!$E$66</f>
        <v/>
      </c>
      <c r="F58" s="38">
        <f>'Допущения'!F$108*'Допущения'!$E$62+'Допущения'!F$109*'Допущения'!$E$66</f>
        <v/>
      </c>
      <c r="G58" s="38">
        <f>'Допущения'!G$108*'Допущения'!$E$62+'Допущения'!G$109*'Допущения'!$E$66</f>
        <v/>
      </c>
      <c r="H58" s="38">
        <f>'Допущения'!H$108*'Допущения'!$E$62+'Допущения'!H$109*'Допущения'!$E$66</f>
        <v/>
      </c>
      <c r="I58" s="38">
        <f>'Допущения'!I$108*'Допущения'!$E$62+'Допущения'!I$109*'Допущения'!$E$66</f>
        <v/>
      </c>
      <c r="J58" s="38">
        <f>'Допущения'!J$108*'Допущения'!$E$62+'Допущения'!J$109*'Допущения'!$E$66</f>
        <v/>
      </c>
      <c r="K58" s="38">
        <f>'Допущения'!K$108*'Допущения'!$E$62+'Допущения'!K$109*'Допущения'!$E$66</f>
        <v/>
      </c>
      <c r="L58" s="38">
        <f>'Допущения'!L$108*'Допущения'!$E$62+'Допущения'!L$109*'Допущения'!$E$66</f>
        <v/>
      </c>
      <c r="M58" s="38">
        <f>'Допущения'!M$108*'Допущения'!$E$62+'Допущения'!M$109*'Допущения'!$E$66</f>
        <v/>
      </c>
      <c r="N58" s="38">
        <f>'Допущения'!N$108*'Допущения'!$E$62+'Допущения'!N$109*'Допущения'!$E$66</f>
        <v/>
      </c>
      <c r="O58" s="38">
        <f>'Допущения'!O$108*'Допущения'!$E$62+'Допущения'!O$109*'Допущения'!$E$66</f>
        <v/>
      </c>
      <c r="P58" s="38">
        <f>'Допущения'!P$108*'Допущения'!$E$62+'Допущения'!P$109*'Допущения'!$E$66</f>
        <v/>
      </c>
      <c r="Q58" s="38">
        <f>'Допущения'!Q$108*'Допущения'!$E$62+'Допущения'!Q$109*'Допущения'!$E$66</f>
        <v/>
      </c>
      <c r="R58" s="38">
        <f>'Допущения'!R$108*'Допущения'!$E$62+'Допущения'!R$109*'Допущения'!$E$66</f>
        <v/>
      </c>
      <c r="S58" s="38">
        <f>'Допущения'!S$108*'Допущения'!$E$62+'Допущения'!S$109*'Допущения'!$E$66</f>
        <v/>
      </c>
      <c r="T58" s="38">
        <f>'Допущения'!T$108*'Допущения'!$E$62+'Допущения'!T$109*'Допущения'!$E$66</f>
        <v/>
      </c>
      <c r="U58" s="38">
        <f>'Допущения'!U$108*'Допущения'!$E$62+'Допущения'!U$109*'Допущения'!$E$66</f>
        <v/>
      </c>
      <c r="V58" s="38">
        <f>'Допущения'!V$108*'Допущения'!$E$62+'Допущения'!V$109*'Допущения'!$E$66</f>
        <v/>
      </c>
      <c r="X58" s="38">
        <f>SUM(C58:F58)</f>
        <v/>
      </c>
      <c r="Y58" s="38">
        <f>SUM(G58:J58)</f>
        <v/>
      </c>
      <c r="Z58" s="38">
        <f>SUM(K58:N58)</f>
        <v/>
      </c>
      <c r="AA58" s="38">
        <f>SUM(O58:R58)</f>
        <v/>
      </c>
      <c r="AB58" s="38">
        <f>SUM(S58:V58)</f>
        <v/>
      </c>
      <c r="AC58" s="39">
        <f>SUM(C58:V58)</f>
        <v/>
      </c>
    </row>
    <row r="59">
      <c r="A59" s="28" t="inlineStr">
        <is>
          <t>Этап 2: доработка и поддержка для клиентов 23+</t>
        </is>
      </c>
      <c r="B59" s="28" t="inlineStr">
        <is>
          <t>млн ₽</t>
        </is>
      </c>
      <c r="C59" s="38">
        <f>'Допущения'!C$107*'Допущения'!$E$48</f>
        <v/>
      </c>
      <c r="D59" s="38">
        <f>'Допущения'!D$107*'Допущения'!$E$48</f>
        <v/>
      </c>
      <c r="E59" s="38">
        <f>'Допущения'!E$107*'Допущения'!$E$48</f>
        <v/>
      </c>
      <c r="F59" s="38">
        <f>'Допущения'!F$107*'Допущения'!$E$48</f>
        <v/>
      </c>
      <c r="G59" s="38">
        <f>'Допущения'!G$107*'Допущения'!$E$48</f>
        <v/>
      </c>
      <c r="H59" s="38">
        <f>'Допущения'!H$107*'Допущения'!$E$48</f>
        <v/>
      </c>
      <c r="I59" s="38">
        <f>'Допущения'!I$107*'Допущения'!$E$48</f>
        <v/>
      </c>
      <c r="J59" s="38">
        <f>'Допущения'!J$107*'Допущения'!$E$48</f>
        <v/>
      </c>
      <c r="K59" s="38">
        <f>'Допущения'!K$107*'Допущения'!$E$48</f>
        <v/>
      </c>
      <c r="L59" s="38">
        <f>'Допущения'!L$107*'Допущения'!$E$48</f>
        <v/>
      </c>
      <c r="M59" s="38">
        <f>'Допущения'!M$107*'Допущения'!$E$48</f>
        <v/>
      </c>
      <c r="N59" s="38">
        <f>'Допущения'!N$107*'Допущения'!$E$48</f>
        <v/>
      </c>
      <c r="O59" s="38">
        <f>'Допущения'!O$107*'Допущения'!$E$48</f>
        <v/>
      </c>
      <c r="P59" s="38">
        <f>'Допущения'!P$107*'Допущения'!$E$48</f>
        <v/>
      </c>
      <c r="Q59" s="38">
        <f>'Допущения'!Q$107*'Допущения'!$E$48</f>
        <v/>
      </c>
      <c r="R59" s="38">
        <f>'Допущения'!R$107*'Допущения'!$E$48</f>
        <v/>
      </c>
      <c r="S59" s="38">
        <f>'Допущения'!S$107*'Допущения'!$E$48</f>
        <v/>
      </c>
      <c r="T59" s="38">
        <f>'Допущения'!T$107*'Допущения'!$E$48</f>
        <v/>
      </c>
      <c r="U59" s="38">
        <f>'Допущения'!U$107*'Допущения'!$E$48</f>
        <v/>
      </c>
      <c r="V59" s="38">
        <f>'Допущения'!V$107*'Допущения'!$E$48</f>
        <v/>
      </c>
      <c r="X59" s="38">
        <f>SUM(C59:F59)</f>
        <v/>
      </c>
      <c r="Y59" s="38">
        <f>SUM(G59:J59)</f>
        <v/>
      </c>
      <c r="Z59" s="38">
        <f>SUM(K59:N59)</f>
        <v/>
      </c>
      <c r="AA59" s="38">
        <f>SUM(O59:R59)</f>
        <v/>
      </c>
      <c r="AB59" s="38">
        <f>SUM(S59:V59)</f>
        <v/>
      </c>
      <c r="AC59" s="39">
        <f>SUM(C59:V59)</f>
        <v/>
      </c>
    </row>
    <row r="60">
      <c r="A60" s="28" t="inlineStr">
        <is>
          <t>Вознаграждения пользователям</t>
        </is>
      </c>
      <c r="B60" s="28" t="inlineStr">
        <is>
          <t>млн ₽</t>
        </is>
      </c>
      <c r="C60" s="38">
        <f>C31*1000*'Допущения'!$E$78/4/1000000</f>
        <v/>
      </c>
      <c r="D60" s="38">
        <f>D31*1000*'Допущения'!$E$78/4/1000000</f>
        <v/>
      </c>
      <c r="E60" s="38">
        <f>E31*1000*'Допущения'!$E$78/4/1000000</f>
        <v/>
      </c>
      <c r="F60" s="38">
        <f>F31*1000*'Допущения'!$E$78/4/1000000</f>
        <v/>
      </c>
      <c r="G60" s="38">
        <f>G31*1000*'Допущения'!$E$78/4/1000000</f>
        <v/>
      </c>
      <c r="H60" s="38">
        <f>H31*1000*'Допущения'!$E$78/4/1000000</f>
        <v/>
      </c>
      <c r="I60" s="38">
        <f>I31*1000*'Допущения'!$E$78/4/1000000</f>
        <v/>
      </c>
      <c r="J60" s="38">
        <f>J31*1000*'Допущения'!$E$78/4/1000000</f>
        <v/>
      </c>
      <c r="K60" s="38">
        <f>K31*1000*'Допущения'!$E$78/4/1000000</f>
        <v/>
      </c>
      <c r="L60" s="38">
        <f>L31*1000*'Допущения'!$E$78/4/1000000</f>
        <v/>
      </c>
      <c r="M60" s="38">
        <f>M31*1000*'Допущения'!$E$78/4/1000000</f>
        <v/>
      </c>
      <c r="N60" s="38">
        <f>N31*1000*'Допущения'!$E$78/4/1000000</f>
        <v/>
      </c>
      <c r="O60" s="38">
        <f>O31*1000*'Допущения'!$E$78/4/1000000</f>
        <v/>
      </c>
      <c r="P60" s="38">
        <f>P31*1000*'Допущения'!$E$78/4/1000000</f>
        <v/>
      </c>
      <c r="Q60" s="38">
        <f>Q31*1000*'Допущения'!$E$78/4/1000000</f>
        <v/>
      </c>
      <c r="R60" s="38">
        <f>R31*1000*'Допущения'!$E$78/4/1000000</f>
        <v/>
      </c>
      <c r="S60" s="38">
        <f>S31*1000*'Допущения'!$E$78/4/1000000</f>
        <v/>
      </c>
      <c r="T60" s="38">
        <f>T31*1000*'Допущения'!$E$78/4/1000000</f>
        <v/>
      </c>
      <c r="U60" s="38">
        <f>U31*1000*'Допущения'!$E$78/4/1000000</f>
        <v/>
      </c>
      <c r="V60" s="38">
        <f>V31*1000*'Допущения'!$E$78/4/1000000</f>
        <v/>
      </c>
      <c r="X60" s="38">
        <f>SUM(C60:F60)</f>
        <v/>
      </c>
      <c r="Y60" s="38">
        <f>SUM(G60:J60)</f>
        <v/>
      </c>
      <c r="Z60" s="38">
        <f>SUM(K60:N60)</f>
        <v/>
      </c>
      <c r="AA60" s="38">
        <f>SUM(O60:R60)</f>
        <v/>
      </c>
      <c r="AB60" s="38">
        <f>SUM(S60:V60)</f>
        <v/>
      </c>
      <c r="AC60" s="39">
        <f>SUM(C60:V60)</f>
        <v/>
      </c>
    </row>
    <row r="61">
      <c r="A61" s="28" t="inlineStr">
        <is>
          <t>Резерв на непредвиденное</t>
        </is>
      </c>
      <c r="B61" s="28" t="inlineStr">
        <is>
          <t>млн ₽</t>
        </is>
      </c>
      <c r="C61" s="38">
        <f>(C55+C56+C57+C58+C59+C60)*'Допущения'!$E$79</f>
        <v/>
      </c>
      <c r="D61" s="38">
        <f>(D55+D56+D57+D58+D59+D60)*'Допущения'!$E$79</f>
        <v/>
      </c>
      <c r="E61" s="38">
        <f>(E55+E56+E57+E58+E59+E60)*'Допущения'!$E$79</f>
        <v/>
      </c>
      <c r="F61" s="38">
        <f>(F55+F56+F57+F58+F59+F60)*'Допущения'!$E$79</f>
        <v/>
      </c>
      <c r="G61" s="38">
        <f>(G55+G56+G57+G58+G59+G60)*'Допущения'!$E$79</f>
        <v/>
      </c>
      <c r="H61" s="38">
        <f>(H55+H56+H57+H58+H59+H60)*'Допущения'!$E$79</f>
        <v/>
      </c>
      <c r="I61" s="38">
        <f>(I55+I56+I57+I58+I59+I60)*'Допущения'!$E$79</f>
        <v/>
      </c>
      <c r="J61" s="38">
        <f>(J55+J56+J57+J58+J59+J60)*'Допущения'!$E$79</f>
        <v/>
      </c>
      <c r="K61" s="38">
        <f>(K55+K56+K57+K58+K59+K60)*'Допущения'!$E$79</f>
        <v/>
      </c>
      <c r="L61" s="38">
        <f>(L55+L56+L57+L58+L59+L60)*'Допущения'!$E$79</f>
        <v/>
      </c>
      <c r="M61" s="38">
        <f>(M55+M56+M57+M58+M59+M60)*'Допущения'!$E$79</f>
        <v/>
      </c>
      <c r="N61" s="38">
        <f>(N55+N56+N57+N58+N59+N60)*'Допущения'!$E$79</f>
        <v/>
      </c>
      <c r="O61" s="38">
        <f>(O55+O56+O57+O58+O59+O60)*'Допущения'!$E$79</f>
        <v/>
      </c>
      <c r="P61" s="38">
        <f>(P55+P56+P57+P58+P59+P60)*'Допущения'!$E$79</f>
        <v/>
      </c>
      <c r="Q61" s="38">
        <f>(Q55+Q56+Q57+Q58+Q59+Q60)*'Допущения'!$E$79</f>
        <v/>
      </c>
      <c r="R61" s="38">
        <f>(R55+R56+R57+R58+R59+R60)*'Допущения'!$E$79</f>
        <v/>
      </c>
      <c r="S61" s="38">
        <f>(S55+S56+S57+S58+S59+S60)*'Допущения'!$E$79</f>
        <v/>
      </c>
      <c r="T61" s="38">
        <f>(T55+T56+T57+T58+T59+T60)*'Допущения'!$E$79</f>
        <v/>
      </c>
      <c r="U61" s="38">
        <f>(U55+U56+U57+U58+U59+U60)*'Допущения'!$E$79</f>
        <v/>
      </c>
      <c r="V61" s="38">
        <f>(V55+V56+V57+V58+V59+V60)*'Допущения'!$E$79</f>
        <v/>
      </c>
      <c r="X61" s="38">
        <f>SUM(C61:F61)</f>
        <v/>
      </c>
      <c r="Y61" s="38">
        <f>SUM(G61:J61)</f>
        <v/>
      </c>
      <c r="Z61" s="38">
        <f>SUM(K61:N61)</f>
        <v/>
      </c>
      <c r="AA61" s="38">
        <f>SUM(O61:R61)</f>
        <v/>
      </c>
      <c r="AB61" s="38">
        <f>SUM(S61:V61)</f>
        <v/>
      </c>
      <c r="AC61" s="39">
        <f>SUM(C61:V61)</f>
        <v/>
      </c>
    </row>
    <row r="62">
      <c r="A62" s="40" t="inlineStr">
        <is>
          <t>ИТОГО ЗАТРАТЫ (с учётом перерасхода)</t>
        </is>
      </c>
      <c r="B62" s="41" t="inlineStr">
        <is>
          <t>млн ₽</t>
        </is>
      </c>
      <c r="C62" s="42">
        <f>(C55+C56+C57+C58+C59+C60+C61)*'Допущения'!$E$80</f>
        <v/>
      </c>
      <c r="D62" s="42">
        <f>(D55+D56+D57+D58+D59+D60+D61)*'Допущения'!$E$80</f>
        <v/>
      </c>
      <c r="E62" s="42">
        <f>(E55+E56+E57+E58+E59+E60+E61)*'Допущения'!$E$80</f>
        <v/>
      </c>
      <c r="F62" s="42">
        <f>(F55+F56+F57+F58+F59+F60+F61)*'Допущения'!$E$80</f>
        <v/>
      </c>
      <c r="G62" s="42">
        <f>(G55+G56+G57+G58+G59+G60+G61)*'Допущения'!$E$80</f>
        <v/>
      </c>
      <c r="H62" s="42">
        <f>(H55+H56+H57+H58+H59+H60+H61)*'Допущения'!$E$80</f>
        <v/>
      </c>
      <c r="I62" s="42">
        <f>(I55+I56+I57+I58+I59+I60+I61)*'Допущения'!$E$80</f>
        <v/>
      </c>
      <c r="J62" s="42">
        <f>(J55+J56+J57+J58+J59+J60+J61)*'Допущения'!$E$80</f>
        <v/>
      </c>
      <c r="K62" s="42">
        <f>(K55+K56+K57+K58+K59+K60+K61)*'Допущения'!$E$80</f>
        <v/>
      </c>
      <c r="L62" s="42">
        <f>(L55+L56+L57+L58+L59+L60+L61)*'Допущения'!$E$80</f>
        <v/>
      </c>
      <c r="M62" s="42">
        <f>(M55+M56+M57+M58+M59+M60+M61)*'Допущения'!$E$80</f>
        <v/>
      </c>
      <c r="N62" s="42">
        <f>(N55+N56+N57+N58+N59+N60+N61)*'Допущения'!$E$80</f>
        <v/>
      </c>
      <c r="O62" s="42">
        <f>(O55+O56+O57+O58+O59+O60+O61)*'Допущения'!$E$80</f>
        <v/>
      </c>
      <c r="P62" s="42">
        <f>(P55+P56+P57+P58+P59+P60+P61)*'Допущения'!$E$80</f>
        <v/>
      </c>
      <c r="Q62" s="42">
        <f>(Q55+Q56+Q57+Q58+Q59+Q60+Q61)*'Допущения'!$E$80</f>
        <v/>
      </c>
      <c r="R62" s="42">
        <f>(R55+R56+R57+R58+R59+R60+R61)*'Допущения'!$E$80</f>
        <v/>
      </c>
      <c r="S62" s="42">
        <f>(S55+S56+S57+S58+S59+S60+S61)*'Допущения'!$E$80</f>
        <v/>
      </c>
      <c r="T62" s="42">
        <f>(T55+T56+T57+T58+T59+T60+T61)*'Допущения'!$E$80</f>
        <v/>
      </c>
      <c r="U62" s="42">
        <f>(U55+U56+U57+U58+U59+U60+U61)*'Допущения'!$E$80</f>
        <v/>
      </c>
      <c r="V62" s="42">
        <f>(V55+V56+V57+V58+V59+V60+V61)*'Допущения'!$E$80</f>
        <v/>
      </c>
      <c r="X62" s="42">
        <f>SUM(C62:F62)</f>
        <v/>
      </c>
      <c r="Y62" s="42">
        <f>SUM(G62:J62)</f>
        <v/>
      </c>
      <c r="Z62" s="42">
        <f>SUM(K62:N62)</f>
        <v/>
      </c>
      <c r="AA62" s="42">
        <f>SUM(O62:R62)</f>
        <v/>
      </c>
      <c r="AB62" s="42">
        <f>SUM(S62:V62)</f>
        <v/>
      </c>
      <c r="AC62" s="42">
        <f>SUM(C62:V62)</f>
        <v/>
      </c>
    </row>
    <row r="63">
      <c r="A63" s="4" t="inlineStr">
        <is>
          <t>Денежный поток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>
      <c r="A64" s="13" t="inlineStr">
        <is>
          <t>Чистый денежный поток</t>
        </is>
      </c>
      <c r="B64" s="28" t="inlineStr">
        <is>
          <t>млн ₽</t>
        </is>
      </c>
      <c r="C64" s="39">
        <f>C53-C62</f>
        <v/>
      </c>
      <c r="D64" s="39">
        <f>D53-D62</f>
        <v/>
      </c>
      <c r="E64" s="39">
        <f>E53-E62</f>
        <v/>
      </c>
      <c r="F64" s="39">
        <f>F53-F62</f>
        <v/>
      </c>
      <c r="G64" s="39">
        <f>G53-G62</f>
        <v/>
      </c>
      <c r="H64" s="39">
        <f>H53-H62</f>
        <v/>
      </c>
      <c r="I64" s="39">
        <f>I53-I62</f>
        <v/>
      </c>
      <c r="J64" s="39">
        <f>J53-J62</f>
        <v/>
      </c>
      <c r="K64" s="39">
        <f>K53-K62</f>
        <v/>
      </c>
      <c r="L64" s="39">
        <f>L53-L62</f>
        <v/>
      </c>
      <c r="M64" s="39">
        <f>M53-M62</f>
        <v/>
      </c>
      <c r="N64" s="39">
        <f>N53-N62</f>
        <v/>
      </c>
      <c r="O64" s="39">
        <f>O53-O62</f>
        <v/>
      </c>
      <c r="P64" s="39">
        <f>P53-P62</f>
        <v/>
      </c>
      <c r="Q64" s="39">
        <f>Q53-Q62</f>
        <v/>
      </c>
      <c r="R64" s="39">
        <f>R53-R62</f>
        <v/>
      </c>
      <c r="S64" s="39">
        <f>S53-S62</f>
        <v/>
      </c>
      <c r="T64" s="39">
        <f>T53-T62</f>
        <v/>
      </c>
      <c r="U64" s="39">
        <f>U53-U62</f>
        <v/>
      </c>
      <c r="V64" s="39">
        <f>V53-V62</f>
        <v/>
      </c>
      <c r="X64" s="39">
        <f>SUM(C64:F64)</f>
        <v/>
      </c>
      <c r="Y64" s="39">
        <f>SUM(G64:J64)</f>
        <v/>
      </c>
      <c r="Z64" s="39">
        <f>SUM(K64:N64)</f>
        <v/>
      </c>
      <c r="AA64" s="39">
        <f>SUM(O64:R64)</f>
        <v/>
      </c>
      <c r="AB64" s="39">
        <f>SUM(S64:V64)</f>
        <v/>
      </c>
      <c r="AC64" s="39">
        <f>SUM(C64:V64)</f>
        <v/>
      </c>
    </row>
    <row r="65">
      <c r="A65" s="28" t="inlineStr">
        <is>
          <t>Накопленный денежный поток</t>
        </is>
      </c>
      <c r="B65" s="28" t="inlineStr">
        <is>
          <t>млн ₽</t>
        </is>
      </c>
      <c r="C65" s="38">
        <f>C64</f>
        <v/>
      </c>
      <c r="D65" s="38">
        <f>C65+D64</f>
        <v/>
      </c>
      <c r="E65" s="38">
        <f>D65+E64</f>
        <v/>
      </c>
      <c r="F65" s="38">
        <f>E65+F64</f>
        <v/>
      </c>
      <c r="G65" s="38">
        <f>F65+G64</f>
        <v/>
      </c>
      <c r="H65" s="38">
        <f>G65+H64</f>
        <v/>
      </c>
      <c r="I65" s="38">
        <f>H65+I64</f>
        <v/>
      </c>
      <c r="J65" s="38">
        <f>I65+J64</f>
        <v/>
      </c>
      <c r="K65" s="38">
        <f>J65+K64</f>
        <v/>
      </c>
      <c r="L65" s="38">
        <f>K65+L64</f>
        <v/>
      </c>
      <c r="M65" s="38">
        <f>L65+M64</f>
        <v/>
      </c>
      <c r="N65" s="38">
        <f>M65+N64</f>
        <v/>
      </c>
      <c r="O65" s="38">
        <f>N65+O64</f>
        <v/>
      </c>
      <c r="P65" s="38">
        <f>O65+P64</f>
        <v/>
      </c>
      <c r="Q65" s="38">
        <f>P65+Q64</f>
        <v/>
      </c>
      <c r="R65" s="38">
        <f>Q65+R64</f>
        <v/>
      </c>
      <c r="S65" s="38">
        <f>R65+S64</f>
        <v/>
      </c>
      <c r="T65" s="38">
        <f>S65+T64</f>
        <v/>
      </c>
      <c r="U65" s="38">
        <f>T65+U64</f>
        <v/>
      </c>
      <c r="V65" s="38">
        <f>U65+V64</f>
        <v/>
      </c>
      <c r="X65" s="38">
        <f>F65</f>
        <v/>
      </c>
      <c r="Y65" s="38">
        <f>J65</f>
        <v/>
      </c>
      <c r="Z65" s="38">
        <f>N65</f>
        <v/>
      </c>
      <c r="AA65" s="38">
        <f>R65</f>
        <v/>
      </c>
      <c r="AB65" s="38">
        <f>V65</f>
        <v/>
      </c>
      <c r="AC65" s="39">
        <f>V65</f>
        <v/>
      </c>
    </row>
    <row r="66">
      <c r="A66" s="28" t="inlineStr">
        <is>
          <t>Коэффициент дисконтирования</t>
        </is>
      </c>
      <c r="B66" s="28" t="inlineStr">
        <is>
          <t>x</t>
        </is>
      </c>
      <c r="C66" s="32">
        <f>1/(1+$C$16)^C24</f>
        <v/>
      </c>
      <c r="D66" s="32">
        <f>1/(1+$C$16)^D24</f>
        <v/>
      </c>
      <c r="E66" s="32">
        <f>1/(1+$C$16)^E24</f>
        <v/>
      </c>
      <c r="F66" s="32">
        <f>1/(1+$C$16)^F24</f>
        <v/>
      </c>
      <c r="G66" s="32">
        <f>1/(1+$C$16)^G24</f>
        <v/>
      </c>
      <c r="H66" s="32">
        <f>1/(1+$C$16)^H24</f>
        <v/>
      </c>
      <c r="I66" s="32">
        <f>1/(1+$C$16)^I24</f>
        <v/>
      </c>
      <c r="J66" s="32">
        <f>1/(1+$C$16)^J24</f>
        <v/>
      </c>
      <c r="K66" s="32">
        <f>1/(1+$C$16)^K24</f>
        <v/>
      </c>
      <c r="L66" s="32">
        <f>1/(1+$C$16)^L24</f>
        <v/>
      </c>
      <c r="M66" s="32">
        <f>1/(1+$C$16)^M24</f>
        <v/>
      </c>
      <c r="N66" s="32">
        <f>1/(1+$C$16)^N24</f>
        <v/>
      </c>
      <c r="O66" s="32">
        <f>1/(1+$C$16)^O24</f>
        <v/>
      </c>
      <c r="P66" s="32">
        <f>1/(1+$C$16)^P24</f>
        <v/>
      </c>
      <c r="Q66" s="32">
        <f>1/(1+$C$16)^Q24</f>
        <v/>
      </c>
      <c r="R66" s="32">
        <f>1/(1+$C$16)^R24</f>
        <v/>
      </c>
      <c r="S66" s="32">
        <f>1/(1+$C$16)^S24</f>
        <v/>
      </c>
      <c r="T66" s="32">
        <f>1/(1+$C$16)^T24</f>
        <v/>
      </c>
      <c r="U66" s="32">
        <f>1/(1+$C$16)^U24</f>
        <v/>
      </c>
      <c r="V66" s="32">
        <f>1/(1+$C$16)^V24</f>
        <v/>
      </c>
    </row>
    <row r="67">
      <c r="A67" s="28" t="inlineStr">
        <is>
          <t>Дисконтированный поток</t>
        </is>
      </c>
      <c r="B67" s="28" t="inlineStr">
        <is>
          <t>млн ₽</t>
        </is>
      </c>
      <c r="C67" s="38">
        <f>C64*C66</f>
        <v/>
      </c>
      <c r="D67" s="38">
        <f>D64*D66</f>
        <v/>
      </c>
      <c r="E67" s="38">
        <f>E64*E66</f>
        <v/>
      </c>
      <c r="F67" s="38">
        <f>F64*F66</f>
        <v/>
      </c>
      <c r="G67" s="38">
        <f>G64*G66</f>
        <v/>
      </c>
      <c r="H67" s="38">
        <f>H64*H66</f>
        <v/>
      </c>
      <c r="I67" s="38">
        <f>I64*I66</f>
        <v/>
      </c>
      <c r="J67" s="38">
        <f>J64*J66</f>
        <v/>
      </c>
      <c r="K67" s="38">
        <f>K64*K66</f>
        <v/>
      </c>
      <c r="L67" s="38">
        <f>L64*L66</f>
        <v/>
      </c>
      <c r="M67" s="38">
        <f>M64*M66</f>
        <v/>
      </c>
      <c r="N67" s="38">
        <f>N64*N66</f>
        <v/>
      </c>
      <c r="O67" s="38">
        <f>O64*O66</f>
        <v/>
      </c>
      <c r="P67" s="38">
        <f>P64*P66</f>
        <v/>
      </c>
      <c r="Q67" s="38">
        <f>Q64*Q66</f>
        <v/>
      </c>
      <c r="R67" s="38">
        <f>R64*R66</f>
        <v/>
      </c>
      <c r="S67" s="38">
        <f>S64*S66</f>
        <v/>
      </c>
      <c r="T67" s="38">
        <f>T64*T66</f>
        <v/>
      </c>
      <c r="U67" s="38">
        <f>U64*U66</f>
        <v/>
      </c>
      <c r="V67" s="38">
        <f>V64*V66</f>
        <v/>
      </c>
      <c r="X67" s="38">
        <f>SUM(C67:F67)</f>
        <v/>
      </c>
      <c r="Y67" s="38">
        <f>SUM(G67:J67)</f>
        <v/>
      </c>
      <c r="Z67" s="38">
        <f>SUM(K67:N67)</f>
        <v/>
      </c>
      <c r="AA67" s="38">
        <f>SUM(O67:R67)</f>
        <v/>
      </c>
      <c r="AB67" s="38">
        <f>SUM(S67:V67)</f>
        <v/>
      </c>
      <c r="AC67" s="39">
        <f>SUM(C67:V67)</f>
        <v/>
      </c>
    </row>
    <row r="68">
      <c r="A68" s="28" t="inlineStr">
        <is>
          <t>Служебная: номер квартала, если накопленный поток ≥ 0</t>
        </is>
      </c>
      <c r="B68" s="28" t="inlineStr">
        <is>
          <t>№</t>
        </is>
      </c>
      <c r="C68" s="34">
        <f>IF(C65&gt;=0,C24,99)</f>
        <v/>
      </c>
      <c r="D68" s="34">
        <f>IF(D65&gt;=0,D24,99)</f>
        <v/>
      </c>
      <c r="E68" s="34">
        <f>IF(E65&gt;=0,E24,99)</f>
        <v/>
      </c>
      <c r="F68" s="34">
        <f>IF(F65&gt;=0,F24,99)</f>
        <v/>
      </c>
      <c r="G68" s="34">
        <f>IF(G65&gt;=0,G24,99)</f>
        <v/>
      </c>
      <c r="H68" s="34">
        <f>IF(H65&gt;=0,H24,99)</f>
        <v/>
      </c>
      <c r="I68" s="34">
        <f>IF(I65&gt;=0,I24,99)</f>
        <v/>
      </c>
      <c r="J68" s="34">
        <f>IF(J65&gt;=0,J24,99)</f>
        <v/>
      </c>
      <c r="K68" s="34">
        <f>IF(K65&gt;=0,K24,99)</f>
        <v/>
      </c>
      <c r="L68" s="34">
        <f>IF(L65&gt;=0,L24,99)</f>
        <v/>
      </c>
      <c r="M68" s="34">
        <f>IF(M65&gt;=0,M24,99)</f>
        <v/>
      </c>
      <c r="N68" s="34">
        <f>IF(N65&gt;=0,N24,99)</f>
        <v/>
      </c>
      <c r="O68" s="34">
        <f>IF(O65&gt;=0,O24,99)</f>
        <v/>
      </c>
      <c r="P68" s="34">
        <f>IF(P65&gt;=0,P24,99)</f>
        <v/>
      </c>
      <c r="Q68" s="34">
        <f>IF(Q65&gt;=0,Q24,99)</f>
        <v/>
      </c>
      <c r="R68" s="34">
        <f>IF(R65&gt;=0,R24,99)</f>
        <v/>
      </c>
      <c r="S68" s="34">
        <f>IF(S65&gt;=0,S24,99)</f>
        <v/>
      </c>
      <c r="T68" s="34">
        <f>IF(T65&gt;=0,T24,99)</f>
        <v/>
      </c>
      <c r="U68" s="34">
        <f>IF(U65&gt;=0,U24,99)</f>
        <v/>
      </c>
      <c r="V68" s="34">
        <f>IF(V65&gt;=0,V24,99)</f>
        <v/>
      </c>
    </row>
    <row r="69">
      <c r="A69" s="28" t="inlineStr">
        <is>
          <t>Поток ядра продукта: без этапа 2, моста и «Пушкинской карты»</t>
        </is>
      </c>
      <c r="B69" s="28" t="inlineStr">
        <is>
          <t>млн ₽</t>
        </is>
      </c>
      <c r="C69" s="38">
        <f>(C53-C50-C52-C45-C47)-(C55+C56+C57+C60)*(1+'Допущения'!$E$79)*'Допущения'!$E$80</f>
        <v/>
      </c>
      <c r="D69" s="38">
        <f>(D53-D50-D52-D45-D47)-(D55+D56+D57+D60)*(1+'Допущения'!$E$79)*'Допущения'!$E$80</f>
        <v/>
      </c>
      <c r="E69" s="38">
        <f>(E53-E50-E52-E45-E47)-(E55+E56+E57+E60)*(1+'Допущения'!$E$79)*'Допущения'!$E$80</f>
        <v/>
      </c>
      <c r="F69" s="38">
        <f>(F53-F50-F52-F45-F47)-(F55+F56+F57+F60)*(1+'Допущения'!$E$79)*'Допущения'!$E$80</f>
        <v/>
      </c>
      <c r="G69" s="38">
        <f>(G53-G50-G52-G45-G47)-(G55+G56+G57+G60)*(1+'Допущения'!$E$79)*'Допущения'!$E$80</f>
        <v/>
      </c>
      <c r="H69" s="38">
        <f>(H53-H50-H52-H45-H47)-(H55+H56+H57+H60)*(1+'Допущения'!$E$79)*'Допущения'!$E$80</f>
        <v/>
      </c>
      <c r="I69" s="38">
        <f>(I53-I50-I52-I45-I47)-(I55+I56+I57+I60)*(1+'Допущения'!$E$79)*'Допущения'!$E$80</f>
        <v/>
      </c>
      <c r="J69" s="38">
        <f>(J53-J50-J52-J45-J47)-(J55+J56+J57+J60)*(1+'Допущения'!$E$79)*'Допущения'!$E$80</f>
        <v/>
      </c>
      <c r="K69" s="38">
        <f>(K53-K50-K52-K45-K47)-(K55+K56+K57+K60)*(1+'Допущения'!$E$79)*'Допущения'!$E$80</f>
        <v/>
      </c>
      <c r="L69" s="38">
        <f>(L53-L50-L52-L45-L47)-(L55+L56+L57+L60)*(1+'Допущения'!$E$79)*'Допущения'!$E$80</f>
        <v/>
      </c>
      <c r="M69" s="38">
        <f>(M53-M50-M52-M45-M47)-(M55+M56+M57+M60)*(1+'Допущения'!$E$79)*'Допущения'!$E$80</f>
        <v/>
      </c>
      <c r="N69" s="38">
        <f>(N53-N50-N52-N45-N47)-(N55+N56+N57+N60)*(1+'Допущения'!$E$79)*'Допущения'!$E$80</f>
        <v/>
      </c>
      <c r="O69" s="38">
        <f>(O53-O50-O52-O45-O47)-(O55+O56+O57+O60)*(1+'Допущения'!$E$79)*'Допущения'!$E$80</f>
        <v/>
      </c>
      <c r="P69" s="38">
        <f>(P53-P50-P52-P45-P47)-(P55+P56+P57+P60)*(1+'Допущения'!$E$79)*'Допущения'!$E$80</f>
        <v/>
      </c>
      <c r="Q69" s="38">
        <f>(Q53-Q50-Q52-Q45-Q47)-(Q55+Q56+Q57+Q60)*(1+'Допущения'!$E$79)*'Допущения'!$E$80</f>
        <v/>
      </c>
      <c r="R69" s="38">
        <f>(R53-R50-R52-R45-R47)-(R55+R56+R57+R60)*(1+'Допущения'!$E$79)*'Допущения'!$E$80</f>
        <v/>
      </c>
      <c r="S69" s="38">
        <f>(S53-S50-S52-S45-S47)-(S55+S56+S57+S60)*(1+'Допущения'!$E$79)*'Допущения'!$E$80</f>
        <v/>
      </c>
      <c r="T69" s="38">
        <f>(T53-T50-T52-T45-T47)-(T55+T56+T57+T60)*(1+'Допущения'!$E$79)*'Допущения'!$E$80</f>
        <v/>
      </c>
      <c r="U69" s="38">
        <f>(U53-U50-U52-U45-U47)-(U55+U56+U57+U60)*(1+'Допущения'!$E$79)*'Допущения'!$E$80</f>
        <v/>
      </c>
      <c r="V69" s="38">
        <f>(V53-V50-V52-V45-V47)-(V55+V56+V57+V60)*(1+'Допущения'!$E$79)*'Допущения'!$E$80</f>
        <v/>
      </c>
      <c r="X69" s="38">
        <f>SUM(C69:F69)</f>
        <v/>
      </c>
      <c r="Y69" s="38">
        <f>SUM(G69:J69)</f>
        <v/>
      </c>
      <c r="Z69" s="38">
        <f>SUM(K69:N69)</f>
        <v/>
      </c>
      <c r="AA69" s="38">
        <f>SUM(O69:R69)</f>
        <v/>
      </c>
      <c r="AB69" s="38">
        <f>SUM(S69:V69)</f>
        <v/>
      </c>
      <c r="AC69" s="39">
        <f>SUM(C69:V69)</f>
        <v/>
      </c>
    </row>
    <row r="70">
      <c r="A70" s="4" t="inlineStr">
        <is>
          <t>Итоговые показатели сценария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>
      <c r="A71" s="28" t="inlineStr">
        <is>
          <t>NPV за 5 лет (2027–2031)</t>
        </is>
      </c>
      <c r="B71" s="28" t="inlineStr">
        <is>
          <t>млн ₽</t>
        </is>
      </c>
      <c r="C71" s="43">
        <f>SUM(C67:V67)</f>
        <v/>
      </c>
    </row>
    <row r="72">
      <c r="A72" s="28" t="inlineStr">
        <is>
          <t>NPV за 5 лет только ядра продукта (без этапа 2, моста и «Пушкинской карты»)</t>
        </is>
      </c>
      <c r="B72" s="28" t="inlineStr">
        <is>
          <t>млн ₽</t>
        </is>
      </c>
      <c r="C72" s="43">
        <f>SUMPRODUCT(C69:V69,C66:V66)</f>
        <v/>
      </c>
    </row>
    <row r="73">
      <c r="A73" s="28" t="inlineStr">
        <is>
          <t>NPV за первые 3 года (2027–2029), справочно</t>
        </is>
      </c>
      <c r="B73" s="28" t="inlineStr">
        <is>
          <t>млн ₽</t>
        </is>
      </c>
      <c r="C73" s="38">
        <f>SUM(C67:N67)</f>
        <v/>
      </c>
    </row>
    <row r="74">
      <c r="A74" s="28" t="inlineStr">
        <is>
          <t>Суммарный эффект за 5 лет</t>
        </is>
      </c>
      <c r="B74" s="28" t="inlineStr">
        <is>
          <t>млн ₽</t>
        </is>
      </c>
      <c r="C74" s="38">
        <f>AC53</f>
        <v/>
      </c>
    </row>
    <row r="75">
      <c r="A75" s="28" t="inlineStr">
        <is>
          <t>Суммарные затраты за 5 лет</t>
        </is>
      </c>
      <c r="B75" s="28" t="inlineStr">
        <is>
          <t>млн ₽</t>
        </is>
      </c>
      <c r="C75" s="38">
        <f>AC62</f>
        <v/>
      </c>
    </row>
    <row r="76">
      <c r="A76" s="28" t="inlineStr">
        <is>
          <t>ROI за 5 лет</t>
        </is>
      </c>
      <c r="B76" s="28" t="inlineStr">
        <is>
          <t>доля</t>
        </is>
      </c>
      <c r="C76" s="35">
        <f>IF(C75&gt;0,(C74-C75)/C75,0)</f>
        <v/>
      </c>
    </row>
    <row r="77">
      <c r="A77" s="28" t="inlineStr">
        <is>
          <t>Инвестиции до полного запуска (разработка + пилот)</t>
        </is>
      </c>
      <c r="B77" s="28" t="inlineStr">
        <is>
          <t>млн ₽</t>
        </is>
      </c>
      <c r="C77" s="38">
        <f>SUMPRODUCT(C62:V62,C25:V25)</f>
        <v/>
      </c>
    </row>
    <row r="78">
      <c r="A78" s="28" t="inlineStr">
        <is>
          <t>Квартал окупаемости (99 — не окупается за 5 лет)</t>
        </is>
      </c>
      <c r="B78" s="28" t="inlineStr">
        <is>
          <t>№</t>
        </is>
      </c>
      <c r="C78" s="34">
        <f>MIN(C68:V68)</f>
        <v/>
      </c>
    </row>
    <row r="79">
      <c r="A79" s="28" t="inlineStr">
        <is>
          <t>Срок окупаемости от старта проекта</t>
        </is>
      </c>
      <c r="B79" s="28" t="inlineStr">
        <is>
          <t>мес.</t>
        </is>
      </c>
      <c r="C79" s="44">
        <f>IF(C78=99,"больше 60",IF(C78=1,0,(C78-1)*3+3*(-INDEX(C65:V65,C78-1))/INDEX(C64:V64,C78)))</f>
        <v/>
      </c>
    </row>
    <row r="80">
      <c r="A80" s="28" t="inlineStr">
        <is>
          <t>Срок окупаемости от полного запуска</t>
        </is>
      </c>
      <c r="B80" s="28" t="inlineStr">
        <is>
          <t>мес.</t>
        </is>
      </c>
      <c r="C80" s="45">
        <f>IF(C78=99,"больше 60",C79-('Допущения'!$E$75-1)*3)</f>
        <v/>
      </c>
    </row>
    <row r="81">
      <c r="A81" s="28" t="inlineStr">
        <is>
          <t>Годовые затраты в режиме эксплуатации (2031)</t>
        </is>
      </c>
      <c r="B81" s="28" t="inlineStr">
        <is>
          <t>млн ₽</t>
        </is>
      </c>
      <c r="C81" s="38">
        <f>AB62</f>
        <v/>
      </c>
    </row>
    <row r="82">
      <c r="A82" s="28" t="inlineStr">
        <is>
          <t>Годовой эффект (2031)</t>
        </is>
      </c>
      <c r="B82" s="28" t="inlineStr">
        <is>
          <t>млн ₽</t>
        </is>
      </c>
      <c r="C82" s="38">
        <f>AB53</f>
        <v/>
      </c>
    </row>
    <row r="83">
      <c r="A83" s="28" t="inlineStr">
        <is>
          <t>Операционный поток 2029 (эффект минус затраты)</t>
        </is>
      </c>
      <c r="B83" s="28" t="inlineStr">
        <is>
          <t>млн ₽</t>
        </is>
      </c>
      <c r="C83" s="38">
        <f>Z53-Z62</f>
        <v/>
      </c>
    </row>
    <row r="84">
      <c r="A84" s="28" t="inlineStr">
        <is>
          <t>Предотвращено дроп-кейсов молодёжи за 5 лет</t>
        </is>
      </c>
      <c r="B84" s="28" t="inlineStr">
        <is>
          <t>шт.</t>
        </is>
      </c>
      <c r="C84" s="29">
        <f>AC33</f>
        <v/>
      </c>
    </row>
    <row r="85">
      <c r="A85" s="28" t="inlineStr">
        <is>
          <t>Предотвращено дроп-кейсов 23+ за 5 лет</t>
        </is>
      </c>
      <c r="B85" s="28" t="inlineStr">
        <is>
          <t>шт.</t>
        </is>
      </c>
      <c r="C85" s="29">
        <f>AC49</f>
        <v/>
      </c>
    </row>
    <row r="86">
      <c r="A86" s="28" t="inlineStr">
        <is>
          <t>Социальный эффект: чужих денег не прошло через карты ВТБ (вне NPV)</t>
        </is>
      </c>
      <c r="B86" s="28" t="inlineStr">
        <is>
          <t>млн ₽</t>
        </is>
      </c>
      <c r="C86" s="38">
        <f>(C84+C85)*'Допущения'!$E$36/1000000</f>
        <v/>
      </c>
    </row>
    <row r="87">
      <c r="A87" s="28" t="inlineStr">
        <is>
          <t>MAU раздела на конец 2031</t>
        </is>
      </c>
      <c r="B87" s="28" t="inlineStr">
        <is>
          <t>тыс. чел.</t>
        </is>
      </c>
      <c r="C87" s="29">
        <f>V31</f>
        <v/>
      </c>
    </row>
    <row r="88">
      <c r="A88" s="28" t="inlineStr">
        <is>
          <t>Молодых клиентов сохранено, удержано и привлечено (на конец 2031)</t>
        </is>
      </c>
      <c r="B88" s="28" t="inlineStr">
        <is>
          <t>чел.</t>
        </is>
      </c>
      <c r="C88" s="29">
        <f>V35+V37+V39+V44+V46</f>
        <v/>
      </c>
    </row>
    <row r="89">
      <c r="A89" s="28" t="inlineStr">
        <is>
          <t>Стратегическая ценность этих клиентов после 23 лет (вне NPV)</t>
        </is>
      </c>
      <c r="B89" s="28" t="inlineStr">
        <is>
          <t>млн ₽</t>
        </is>
      </c>
      <c r="C89" s="38">
        <f>C88*C19/1000000</f>
        <v/>
      </c>
    </row>
    <row r="90">
      <c r="A90" s="28" t="inlineStr">
        <is>
          <t>Затраты на одного MAU в 2031</t>
        </is>
      </c>
      <c r="B90" s="28" t="inlineStr">
        <is>
          <t>₽/год</t>
        </is>
      </c>
      <c r="C90" s="29">
        <f>IF(V31&gt;0,AB62*1000000/(V31*1000),0)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2026-10-08T19:06:51Z</dcterms:created>
  <dcterms:modified xsi:type="dcterms:W3CDTF">2026-10-08T19:06:51Z</dcterms:modified>
</cp:coreProperties>
</file>